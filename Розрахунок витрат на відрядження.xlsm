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ІВАХІВ\09. Розрахунок відрядження\"/>
    </mc:Choice>
  </mc:AlternateContent>
  <bookViews>
    <workbookView xWindow="0" yWindow="0" windowWidth="23040" windowHeight="9192" firstSheet="1" activeTab="3"/>
  </bookViews>
  <sheets>
    <sheet name="База даних" sheetId="1" r:id="rId1"/>
    <sheet name="Розрахунок" sheetId="3" r:id="rId2"/>
    <sheet name="Налаштування" sheetId="8" r:id="rId3"/>
    <sheet name="Журнал оновлень" sheetId="6" r:id="rId4"/>
    <sheet name="Про програму" sheetId="9" r:id="rId5"/>
    <sheet name="Додаток №5" sheetId="4" state="hidden" r:id="rId6"/>
    <sheet name="Відмінки" sheetId="7" state="hidden" r:id="rId7"/>
  </sheets>
  <definedNames>
    <definedName name="bookkeeper_4" comment="Додаток №4 - ПІБ бухгалтера">Налаштування!$D$10</definedName>
    <definedName name="bookkeeper_5" comment="Додаток №5 - ПІБ бухгалтера">Налаштування!$K$10</definedName>
    <definedName name="commence" comment="Дата початку відрядження">Розрахунок!$AH$2</definedName>
    <definedName name="complete" comment="Дата закінчення відрядження">Розрахунок!$AH$3</definedName>
    <definedName name="date_comm_num">Розрахунок!$H$2</definedName>
    <definedName name="date_comp_num">Розрахунок!$H$3</definedName>
    <definedName name="dob_days" comment="Кількість днів (добових)">Розрахунок!$H$4</definedName>
    <definedName name="dobovi">Розрахунок!$D$4</definedName>
    <definedName name="dobovi_plus" comment="Добові + окремий розрахунок">Розрахунок!$O$11:$O$31</definedName>
    <definedName name="dobovi_plus_days">Розрахунок!$P$11:$P$31</definedName>
    <definedName name="dodatok_5_table">'Додаток №5'!$A$1:$J$23</definedName>
    <definedName name="dodatok_5_total">'Додаток №5'!$A$23:$J$23</definedName>
    <definedName name="for_car" comment="Витрати на автомобіль">Розрахунок!$E$7</definedName>
    <definedName name="for_car_plus">Розрахунок!$U$11:$U$31</definedName>
    <definedName name="full_name" comment="Прізвище Ім'я По-батькові">Розрахунок!$AG$11:$AG$31</definedName>
    <definedName name="garage" comment="Гаражування транспорту">Розрахунок!$L$11:$L$31</definedName>
    <definedName name="head_10" comment="Додаток №10 - ім'я та прізвище керівника">Налаштування!$R$10</definedName>
    <definedName name="made_the_culc" comment="Додаток №5 - Розрахунок склав">Розрахунок!$AH$4</definedName>
    <definedName name="main_table" comment="головна таблиця">Розрахунок!$B$11:$W$31</definedName>
    <definedName name="marg_bottom_10">Налаштування!$T$8</definedName>
    <definedName name="marg_bottom_4" comment="нижне поле додаток 4">Налаштування!$F$8</definedName>
    <definedName name="marg_bottom_5">Налаштування!$M$8</definedName>
    <definedName name="marg_left_10">Налаштування!$T$5</definedName>
    <definedName name="marg_left_4" comment="ліве поле додаток 4">Налаштування!$F$5</definedName>
    <definedName name="marg_left_5">Налаштування!$M$5</definedName>
    <definedName name="marg_right_10">Налаштування!$T$6</definedName>
    <definedName name="marg_right_4" comment="праве поле додаток 4">Налаштування!$F$6</definedName>
    <definedName name="marg_right_5">Налаштування!$M$6</definedName>
    <definedName name="marg_top_10">Налаштування!$T$7</definedName>
    <definedName name="marg_top_4" comment="верхне поле додаток 4">Налаштування!$F$7</definedName>
    <definedName name="marg_top_5">Налаштування!$M$7</definedName>
    <definedName name="num_of_memo" comment="номер сужбової записки">Розрахунок!$J$6</definedName>
    <definedName name="one_place">Розрахунок!$E$11</definedName>
    <definedName name="order" comment="Номер наказу">Розрахунок!$D$2</definedName>
    <definedName name="order_date" comment="Дата наказу">Розрахунок!$AH$1</definedName>
    <definedName name="other" comment="Інші витрати">Розрахунок!$E$8</definedName>
    <definedName name="other_plus" comment="інші + окремий розрахунок">Розрахунок!$V$11:$V$31</definedName>
    <definedName name="P.I.B." comment="П.І.Б - розрахунок">Розрахунок!$B$11:$B$31</definedName>
    <definedName name="place" comment="Назва населених пунктів">Розрахунок!$E$11:$E$31</definedName>
    <definedName name="proiz_days" comment="кількість днів проїзду">Розрахунок!$H$6</definedName>
    <definedName name="proiz_plus" comment="проїзд + окремий розрахунок">Розрахунок!$S$11:$S$31</definedName>
    <definedName name="proiz_plus_days">Розрахунок!$T$11:$T$31</definedName>
    <definedName name="proizd">Розрахунок!$D$6</definedName>
    <definedName name="proj_days" comment="кількість днів проживання">Розрахунок!$H$5</definedName>
    <definedName name="proj_plus" comment="проживання + окремий розрахунок">Розрахунок!$Q$11:$Q$31</definedName>
    <definedName name="proj_plus_days">Розрахунок!$R$11:$R$31</definedName>
    <definedName name="projiv">Розрахунок!$D$5</definedName>
    <definedName name="purpose" comment="Ціль відрядження">Розрахунок!$J$11:$J$31</definedName>
    <definedName name="sep_calc" comment="Окремий розрахунок: так чи ні?">Розрахунок!$M$11:$M$31</definedName>
    <definedName name="short_name" comment="Ім'я ПРІЗВИЩЕ">Розрахунок!$AH$11:$AH$31</definedName>
    <definedName name="total_sum" comment="Загальна сума">Розрахунок!$D$9</definedName>
    <definedName name="total_sum_plus" comment="загальна сумма">Розрахунок!$W$11:$W$31</definedName>
    <definedName name="transport" comment="Проїзд транспортом">Розрахунок!$K$11:$K$31</definedName>
    <definedName name="worker_1">Розрахунок!$B$11:$W$11</definedName>
    <definedName name="worker_10">Розрахунок!$B$20:$W$20</definedName>
    <definedName name="worker_11">Розрахунок!$B$21:$W$21</definedName>
    <definedName name="worker_12">Розрахунок!$B$22:$W$22</definedName>
    <definedName name="worker_13">Розрахунок!$B$23:$W$23</definedName>
    <definedName name="worker_14">Розрахунок!$B$24:$W$24</definedName>
    <definedName name="worker_15">Розрахунок!$B$25:$W$25</definedName>
    <definedName name="worker_16">Розрахунок!$B$26:$W$26</definedName>
    <definedName name="worker_17">Розрахунок!$B$27:$W$27</definedName>
    <definedName name="worker_18">Розрахунок!$B$28:$W$28</definedName>
    <definedName name="worker_19">Розрахунок!$B$29:$W$29</definedName>
    <definedName name="worker_2">Розрахунок!$B$12:$W$12</definedName>
    <definedName name="worker_20">Розрахунок!$B$30:$W$30</definedName>
    <definedName name="worker_21">Розрахунок!$B$31:$W$31</definedName>
    <definedName name="worker_3">Розрахунок!$B$13:$W$13</definedName>
    <definedName name="worker_4">Розрахунок!$B$14:$W$14</definedName>
    <definedName name="worker_5">Розрахунок!$B$15:$W$15</definedName>
    <definedName name="worker_6">Розрахунок!$B$16:$W$16</definedName>
    <definedName name="worker_7">Розрахунок!$B$17:$W$17</definedName>
    <definedName name="worker_8">Розрахунок!$B$18:$W$18</definedName>
    <definedName name="worker_9">Розрахунок!$B$19:$W$19</definedName>
    <definedName name="_xlnm.Print_Area" localSheetId="4">'Про програму'!$A$1:$V$11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5" i="3" l="1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D9" i="3" l="1"/>
  <c r="W14" i="3" s="1"/>
  <c r="W31" i="3" l="1"/>
  <c r="W13" i="3"/>
  <c r="W12" i="3"/>
  <c r="W11" i="3"/>
  <c r="S13" i="8" l="1"/>
  <c r="M14" i="8"/>
  <c r="E13" i="8"/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" i="4"/>
  <c r="H14" i="4" l="1"/>
  <c r="F14" i="4"/>
  <c r="G14" i="4"/>
  <c r="E14" i="4"/>
  <c r="H18" i="4"/>
  <c r="F18" i="4"/>
  <c r="G18" i="4"/>
  <c r="E18" i="4"/>
  <c r="H10" i="4"/>
  <c r="F10" i="4"/>
  <c r="G10" i="4"/>
  <c r="E10" i="4"/>
  <c r="G21" i="4"/>
  <c r="E21" i="4"/>
  <c r="H21" i="4"/>
  <c r="F21" i="4"/>
  <c r="G17" i="4"/>
  <c r="E17" i="4"/>
  <c r="H17" i="4"/>
  <c r="F17" i="4"/>
  <c r="F13" i="4"/>
  <c r="G13" i="4"/>
  <c r="E13" i="4"/>
  <c r="H13" i="4"/>
  <c r="G9" i="4"/>
  <c r="E9" i="4"/>
  <c r="H9" i="4"/>
  <c r="F9" i="4"/>
  <c r="H20" i="4"/>
  <c r="F20" i="4"/>
  <c r="G20" i="4"/>
  <c r="E20" i="4"/>
  <c r="F16" i="4"/>
  <c r="G16" i="4"/>
  <c r="E16" i="4"/>
  <c r="H16" i="4"/>
  <c r="F12" i="4"/>
  <c r="G12" i="4"/>
  <c r="E12" i="4"/>
  <c r="H12" i="4"/>
  <c r="F8" i="4"/>
  <c r="G8" i="4"/>
  <c r="E8" i="4"/>
  <c r="H8" i="4"/>
  <c r="H4" i="4"/>
  <c r="F4" i="4"/>
  <c r="G4" i="4"/>
  <c r="E4" i="4"/>
  <c r="G2" i="4"/>
  <c r="E2" i="4"/>
  <c r="H2" i="4"/>
  <c r="F2" i="4"/>
  <c r="H19" i="4"/>
  <c r="F19" i="4"/>
  <c r="G19" i="4"/>
  <c r="E19" i="4"/>
  <c r="H15" i="4"/>
  <c r="F15" i="4"/>
  <c r="G15" i="4"/>
  <c r="E15" i="4"/>
  <c r="H11" i="4"/>
  <c r="F11" i="4"/>
  <c r="G11" i="4"/>
  <c r="E11" i="4"/>
  <c r="H7" i="4"/>
  <c r="F7" i="4"/>
  <c r="G7" i="4"/>
  <c r="E7" i="4"/>
  <c r="G3" i="4"/>
  <c r="E3" i="4"/>
  <c r="H3" i="4"/>
  <c r="F3" i="4"/>
  <c r="E6" i="4"/>
  <c r="G6" i="4"/>
  <c r="F6" i="4"/>
  <c r="H6" i="4"/>
  <c r="H5" i="4"/>
  <c r="G5" i="4"/>
  <c r="E5" i="4"/>
  <c r="F5" i="4"/>
  <c r="H22" i="4"/>
  <c r="F22" i="4"/>
  <c r="G22" i="4"/>
  <c r="E22" i="4"/>
  <c r="I19" i="4"/>
  <c r="I15" i="4"/>
  <c r="I11" i="4"/>
  <c r="I18" i="4"/>
  <c r="I14" i="4"/>
  <c r="I10" i="4"/>
  <c r="I21" i="4"/>
  <c r="I17" i="4"/>
  <c r="I13" i="4"/>
  <c r="I9" i="4"/>
  <c r="I20" i="4"/>
  <c r="I16" i="4"/>
  <c r="I12" i="4"/>
  <c r="I8" i="4"/>
  <c r="A21" i="7"/>
  <c r="B21" i="7" s="1"/>
  <c r="E21" i="7" s="1"/>
  <c r="F21" i="7" s="1"/>
  <c r="A22" i="7"/>
  <c r="B22" i="7" s="1"/>
  <c r="E22" i="7" s="1"/>
  <c r="F22" i="7" s="1"/>
  <c r="A23" i="7"/>
  <c r="B23" i="7" s="1"/>
  <c r="A24" i="7"/>
  <c r="A25" i="7"/>
  <c r="B25" i="7" s="1"/>
  <c r="E25" i="7" s="1"/>
  <c r="F25" i="7" s="1"/>
  <c r="A26" i="7"/>
  <c r="B26" i="7" s="1"/>
  <c r="E26" i="7" s="1"/>
  <c r="F26" i="7" s="1"/>
  <c r="A27" i="7"/>
  <c r="B27" i="7" s="1"/>
  <c r="A28" i="7"/>
  <c r="A29" i="7"/>
  <c r="B29" i="7" s="1"/>
  <c r="E29" i="7" s="1"/>
  <c r="F29" i="7" s="1"/>
  <c r="A30" i="7"/>
  <c r="B30" i="7" s="1"/>
  <c r="A31" i="7"/>
  <c r="B31" i="7" s="1"/>
  <c r="E31" i="7" s="1"/>
  <c r="F31" i="7" s="1"/>
  <c r="A32" i="7"/>
  <c r="B32" i="7" s="1"/>
  <c r="E32" i="7" s="1"/>
  <c r="F32" i="7" s="1"/>
  <c r="A33" i="7"/>
  <c r="A34" i="7"/>
  <c r="B34" i="7" s="1"/>
  <c r="A35" i="7"/>
  <c r="B35" i="7" s="1"/>
  <c r="A36" i="7"/>
  <c r="B36" i="7" s="1"/>
  <c r="E36" i="7" s="1"/>
  <c r="F36" i="7" s="1"/>
  <c r="A37" i="7"/>
  <c r="A38" i="7"/>
  <c r="B38" i="7" s="1"/>
  <c r="A39" i="7"/>
  <c r="B39" i="7" s="1"/>
  <c r="E39" i="7" s="1"/>
  <c r="F39" i="7" s="1"/>
  <c r="A40" i="7"/>
  <c r="B40" i="7" s="1"/>
  <c r="E40" i="7" s="1"/>
  <c r="F40" i="7" s="1"/>
  <c r="A41" i="7"/>
  <c r="A42" i="7"/>
  <c r="B42" i="7" s="1"/>
  <c r="A43" i="7"/>
  <c r="B43" i="7" s="1"/>
  <c r="E43" i="7" s="1"/>
  <c r="F43" i="7" s="1"/>
  <c r="A44" i="7"/>
  <c r="B44" i="7" s="1"/>
  <c r="E44" i="7" s="1"/>
  <c r="F44" i="7" s="1"/>
  <c r="A45" i="7"/>
  <c r="A46" i="7"/>
  <c r="B46" i="7" s="1"/>
  <c r="A47" i="7"/>
  <c r="B47" i="7" s="1"/>
  <c r="A48" i="7"/>
  <c r="B48" i="7" s="1"/>
  <c r="E48" i="7" s="1"/>
  <c r="F48" i="7" s="1"/>
  <c r="A49" i="7"/>
  <c r="A50" i="7"/>
  <c r="B50" i="7" s="1"/>
  <c r="A51" i="7"/>
  <c r="B51" i="7" s="1"/>
  <c r="A52" i="7"/>
  <c r="B52" i="7" s="1"/>
  <c r="E52" i="7" s="1"/>
  <c r="F52" i="7" s="1"/>
  <c r="A53" i="7"/>
  <c r="A54" i="7"/>
  <c r="B54" i="7" s="1"/>
  <c r="A55" i="7"/>
  <c r="B55" i="7" s="1"/>
  <c r="E55" i="7" s="1"/>
  <c r="F55" i="7" s="1"/>
  <c r="A56" i="7"/>
  <c r="B56" i="7" s="1"/>
  <c r="E56" i="7" s="1"/>
  <c r="F56" i="7" s="1"/>
  <c r="A57" i="7"/>
  <c r="A58" i="7"/>
  <c r="B58" i="7" s="1"/>
  <c r="A59" i="7"/>
  <c r="A60" i="7"/>
  <c r="B60" i="7" s="1"/>
  <c r="E60" i="7" s="1"/>
  <c r="F60" i="7" s="1"/>
  <c r="A61" i="7"/>
  <c r="A62" i="7"/>
  <c r="B62" i="7" s="1"/>
  <c r="A63" i="7"/>
  <c r="B63" i="7" s="1"/>
  <c r="A64" i="7"/>
  <c r="B64" i="7" s="1"/>
  <c r="E64" i="7" s="1"/>
  <c r="F64" i="7" s="1"/>
  <c r="A65" i="7"/>
  <c r="B65" i="7" s="1"/>
  <c r="E65" i="7" s="1"/>
  <c r="F65" i="7" s="1"/>
  <c r="A66" i="7"/>
  <c r="B66" i="7" s="1"/>
  <c r="E66" i="7" s="1"/>
  <c r="F66" i="7" s="1"/>
  <c r="A67" i="7"/>
  <c r="B67" i="7" s="1"/>
  <c r="E67" i="7" s="1"/>
  <c r="F67" i="7" s="1"/>
  <c r="A68" i="7"/>
  <c r="B68" i="7" s="1"/>
  <c r="E68" i="7" s="1"/>
  <c r="F68" i="7" s="1"/>
  <c r="A69" i="7"/>
  <c r="B69" i="7" s="1"/>
  <c r="E69" i="7" s="1"/>
  <c r="F69" i="7" s="1"/>
  <c r="A70" i="7"/>
  <c r="B70" i="7" s="1"/>
  <c r="E70" i="7" s="1"/>
  <c r="F70" i="7" s="1"/>
  <c r="A71" i="7"/>
  <c r="B71" i="7" s="1"/>
  <c r="E71" i="7" s="1"/>
  <c r="F71" i="7" s="1"/>
  <c r="A72" i="7"/>
  <c r="B72" i="7" s="1"/>
  <c r="E72" i="7" s="1"/>
  <c r="F72" i="7" s="1"/>
  <c r="A73" i="7"/>
  <c r="B73" i="7" s="1"/>
  <c r="E73" i="7" s="1"/>
  <c r="F73" i="7" s="1"/>
  <c r="A74" i="7"/>
  <c r="B74" i="7" s="1"/>
  <c r="E74" i="7" s="1"/>
  <c r="F74" i="7" s="1"/>
  <c r="A75" i="7"/>
  <c r="B75" i="7" s="1"/>
  <c r="E75" i="7" s="1"/>
  <c r="F75" i="7" s="1"/>
  <c r="A76" i="7"/>
  <c r="B76" i="7" s="1"/>
  <c r="E76" i="7" s="1"/>
  <c r="F76" i="7" s="1"/>
  <c r="A77" i="7"/>
  <c r="B77" i="7" s="1"/>
  <c r="E77" i="7" s="1"/>
  <c r="F77" i="7" s="1"/>
  <c r="A78" i="7"/>
  <c r="B78" i="7" s="1"/>
  <c r="E78" i="7" s="1"/>
  <c r="F78" i="7" s="1"/>
  <c r="A79" i="7"/>
  <c r="B79" i="7" s="1"/>
  <c r="E79" i="7" s="1"/>
  <c r="F79" i="7" s="1"/>
  <c r="A80" i="7"/>
  <c r="B80" i="7" s="1"/>
  <c r="E80" i="7" s="1"/>
  <c r="F80" i="7" s="1"/>
  <c r="A81" i="7"/>
  <c r="B81" i="7" s="1"/>
  <c r="E81" i="7" s="1"/>
  <c r="F81" i="7" s="1"/>
  <c r="A82" i="7"/>
  <c r="B82" i="7" s="1"/>
  <c r="E82" i="7" s="1"/>
  <c r="F82" i="7" s="1"/>
  <c r="A83" i="7"/>
  <c r="B83" i="7" s="1"/>
  <c r="E83" i="7" s="1"/>
  <c r="F83" i="7" s="1"/>
  <c r="A84" i="7"/>
  <c r="B84" i="7" s="1"/>
  <c r="E84" i="7" s="1"/>
  <c r="F84" i="7" s="1"/>
  <c r="A85" i="7"/>
  <c r="B85" i="7" s="1"/>
  <c r="A86" i="7"/>
  <c r="B86" i="7" s="1"/>
  <c r="E86" i="7" s="1"/>
  <c r="F86" i="7" s="1"/>
  <c r="A87" i="7"/>
  <c r="B87" i="7" s="1"/>
  <c r="E87" i="7" s="1"/>
  <c r="F87" i="7" s="1"/>
  <c r="A88" i="7"/>
  <c r="B88" i="7" s="1"/>
  <c r="E88" i="7" s="1"/>
  <c r="F88" i="7" s="1"/>
  <c r="A89" i="7"/>
  <c r="B89" i="7" s="1"/>
  <c r="E89" i="7" s="1"/>
  <c r="F89" i="7" s="1"/>
  <c r="A90" i="7"/>
  <c r="B90" i="7" s="1"/>
  <c r="E90" i="7" s="1"/>
  <c r="F90" i="7" s="1"/>
  <c r="A91" i="7"/>
  <c r="B91" i="7" s="1"/>
  <c r="E91" i="7" s="1"/>
  <c r="F91" i="7" s="1"/>
  <c r="A92" i="7"/>
  <c r="B92" i="7" s="1"/>
  <c r="E92" i="7" s="1"/>
  <c r="F92" i="7" s="1"/>
  <c r="A93" i="7"/>
  <c r="B93" i="7" s="1"/>
  <c r="E93" i="7" s="1"/>
  <c r="F93" i="7" s="1"/>
  <c r="A94" i="7"/>
  <c r="B94" i="7" s="1"/>
  <c r="E94" i="7" s="1"/>
  <c r="F94" i="7" s="1"/>
  <c r="A95" i="7"/>
  <c r="B95" i="7" s="1"/>
  <c r="E95" i="7" s="1"/>
  <c r="F95" i="7" s="1"/>
  <c r="A96" i="7"/>
  <c r="B96" i="7" s="1"/>
  <c r="E96" i="7" s="1"/>
  <c r="F96" i="7" s="1"/>
  <c r="A97" i="7"/>
  <c r="B97" i="7" s="1"/>
  <c r="E97" i="7" s="1"/>
  <c r="F97" i="7" s="1"/>
  <c r="A98" i="7"/>
  <c r="B98" i="7" s="1"/>
  <c r="E98" i="7" s="1"/>
  <c r="F98" i="7" s="1"/>
  <c r="A99" i="7"/>
  <c r="B99" i="7" s="1"/>
  <c r="E99" i="7" s="1"/>
  <c r="F99" i="7" s="1"/>
  <c r="A100" i="7"/>
  <c r="B100" i="7" s="1"/>
  <c r="E100" i="7" s="1"/>
  <c r="F100" i="7" s="1"/>
  <c r="I7" i="4" l="1"/>
  <c r="I6" i="4"/>
  <c r="I5" i="4"/>
  <c r="I22" i="4"/>
  <c r="I4" i="4"/>
  <c r="I3" i="4"/>
  <c r="E23" i="4"/>
  <c r="I2" i="4"/>
  <c r="C100" i="7"/>
  <c r="G100" i="7" s="1"/>
  <c r="E47" i="7"/>
  <c r="F47" i="7" s="1"/>
  <c r="C47" i="7"/>
  <c r="D47" i="7" s="1"/>
  <c r="H47" i="7" s="1"/>
  <c r="C31" i="7"/>
  <c r="D31" i="7" s="1"/>
  <c r="H31" i="7" s="1"/>
  <c r="C88" i="7"/>
  <c r="G88" i="7" s="1"/>
  <c r="E63" i="7"/>
  <c r="F63" i="7" s="1"/>
  <c r="C63" i="7"/>
  <c r="G63" i="7" s="1"/>
  <c r="C92" i="7"/>
  <c r="G92" i="7" s="1"/>
  <c r="C87" i="7"/>
  <c r="G87" i="7" s="1"/>
  <c r="B59" i="7"/>
  <c r="E59" i="7" s="1"/>
  <c r="F59" i="7" s="1"/>
  <c r="C43" i="7"/>
  <c r="G43" i="7" s="1"/>
  <c r="E51" i="7"/>
  <c r="F51" i="7" s="1"/>
  <c r="C51" i="7"/>
  <c r="D51" i="7" s="1"/>
  <c r="H51" i="7" s="1"/>
  <c r="E35" i="7"/>
  <c r="F35" i="7" s="1"/>
  <c r="C35" i="7"/>
  <c r="D35" i="7" s="1"/>
  <c r="H35" i="7" s="1"/>
  <c r="C55" i="7"/>
  <c r="G55" i="7" s="1"/>
  <c r="C39" i="7"/>
  <c r="D39" i="7" s="1"/>
  <c r="H39" i="7" s="1"/>
  <c r="C96" i="7"/>
  <c r="G96" i="7" s="1"/>
  <c r="C22" i="7"/>
  <c r="G22" i="7" s="1"/>
  <c r="C85" i="7"/>
  <c r="G85" i="7" s="1"/>
  <c r="E85" i="7"/>
  <c r="F85" i="7" s="1"/>
  <c r="C89" i="7"/>
  <c r="G89" i="7" s="1"/>
  <c r="C99" i="7"/>
  <c r="C98" i="7"/>
  <c r="G98" i="7" s="1"/>
  <c r="C97" i="7"/>
  <c r="C95" i="7"/>
  <c r="C94" i="7"/>
  <c r="G94" i="7" s="1"/>
  <c r="C93" i="7"/>
  <c r="C91" i="7"/>
  <c r="C90" i="7"/>
  <c r="G90" i="7" s="1"/>
  <c r="D55" i="7"/>
  <c r="H55" i="7" s="1"/>
  <c r="B28" i="7"/>
  <c r="E28" i="7" s="1"/>
  <c r="F28" i="7" s="1"/>
  <c r="C23" i="7"/>
  <c r="E23" i="7"/>
  <c r="F23" i="7" s="1"/>
  <c r="C86" i="7"/>
  <c r="C84" i="7"/>
  <c r="C83" i="7"/>
  <c r="C82" i="7"/>
  <c r="C80" i="7"/>
  <c r="C79" i="7"/>
  <c r="C78" i="7"/>
  <c r="C76" i="7"/>
  <c r="C75" i="7"/>
  <c r="C74" i="7"/>
  <c r="C72" i="7"/>
  <c r="C71" i="7"/>
  <c r="C70" i="7"/>
  <c r="C68" i="7"/>
  <c r="C67" i="7"/>
  <c r="C66" i="7"/>
  <c r="C64" i="7"/>
  <c r="C26" i="7"/>
  <c r="C81" i="7"/>
  <c r="G81" i="7" s="1"/>
  <c r="C77" i="7"/>
  <c r="G77" i="7" s="1"/>
  <c r="C73" i="7"/>
  <c r="G73" i="7" s="1"/>
  <c r="C69" i="7"/>
  <c r="G69" i="7" s="1"/>
  <c r="C65" i="7"/>
  <c r="G65" i="7" s="1"/>
  <c r="E62" i="7"/>
  <c r="F62" i="7" s="1"/>
  <c r="C62" i="7"/>
  <c r="B61" i="7"/>
  <c r="E61" i="7" s="1"/>
  <c r="F61" i="7" s="1"/>
  <c r="C60" i="7"/>
  <c r="G60" i="7" s="1"/>
  <c r="E58" i="7"/>
  <c r="F58" i="7" s="1"/>
  <c r="C58" i="7"/>
  <c r="B57" i="7"/>
  <c r="E57" i="7" s="1"/>
  <c r="F57" i="7" s="1"/>
  <c r="C56" i="7"/>
  <c r="G56" i="7" s="1"/>
  <c r="E54" i="7"/>
  <c r="F54" i="7" s="1"/>
  <c r="C54" i="7"/>
  <c r="B53" i="7"/>
  <c r="E53" i="7" s="1"/>
  <c r="F53" i="7" s="1"/>
  <c r="C52" i="7"/>
  <c r="G52" i="7" s="1"/>
  <c r="E50" i="7"/>
  <c r="F50" i="7" s="1"/>
  <c r="C50" i="7"/>
  <c r="B49" i="7"/>
  <c r="E49" i="7" s="1"/>
  <c r="F49" i="7" s="1"/>
  <c r="C48" i="7"/>
  <c r="G48" i="7" s="1"/>
  <c r="E46" i="7"/>
  <c r="F46" i="7" s="1"/>
  <c r="C46" i="7"/>
  <c r="B45" i="7"/>
  <c r="E45" i="7" s="1"/>
  <c r="F45" i="7" s="1"/>
  <c r="C44" i="7"/>
  <c r="G44" i="7" s="1"/>
  <c r="E42" i="7"/>
  <c r="F42" i="7" s="1"/>
  <c r="C42" i="7"/>
  <c r="B41" i="7"/>
  <c r="E41" i="7" s="1"/>
  <c r="F41" i="7" s="1"/>
  <c r="C40" i="7"/>
  <c r="G40" i="7" s="1"/>
  <c r="E38" i="7"/>
  <c r="F38" i="7" s="1"/>
  <c r="C38" i="7"/>
  <c r="B37" i="7"/>
  <c r="E37" i="7" s="1"/>
  <c r="F37" i="7" s="1"/>
  <c r="C36" i="7"/>
  <c r="G36" i="7" s="1"/>
  <c r="E34" i="7"/>
  <c r="F34" i="7" s="1"/>
  <c r="C34" i="7"/>
  <c r="B33" i="7"/>
  <c r="E33" i="7" s="1"/>
  <c r="F33" i="7" s="1"/>
  <c r="C32" i="7"/>
  <c r="G32" i="7" s="1"/>
  <c r="E30" i="7"/>
  <c r="F30" i="7" s="1"/>
  <c r="C30" i="7"/>
  <c r="C27" i="7"/>
  <c r="E27" i="7"/>
  <c r="F27" i="7" s="1"/>
  <c r="B24" i="7"/>
  <c r="E24" i="7" s="1"/>
  <c r="F24" i="7" s="1"/>
  <c r="C29" i="7"/>
  <c r="C25" i="7"/>
  <c r="C21" i="7"/>
  <c r="A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B20" i="7" s="1"/>
  <c r="C20" i="7" s="1"/>
  <c r="G20" i="7" s="1"/>
  <c r="A1" i="7"/>
  <c r="G51" i="7" l="1"/>
  <c r="D100" i="7"/>
  <c r="H100" i="7" s="1"/>
  <c r="I100" i="7" s="1"/>
  <c r="D43" i="7"/>
  <c r="H43" i="7" s="1"/>
  <c r="D96" i="7"/>
  <c r="H96" i="7" s="1"/>
  <c r="I96" i="7" s="1"/>
  <c r="D87" i="7"/>
  <c r="H87" i="7" s="1"/>
  <c r="I87" i="7" s="1"/>
  <c r="G47" i="7"/>
  <c r="I47" i="7" s="1"/>
  <c r="D63" i="7"/>
  <c r="H63" i="7" s="1"/>
  <c r="I63" i="7" s="1"/>
  <c r="G31" i="7"/>
  <c r="I31" i="7" s="1"/>
  <c r="C57" i="7"/>
  <c r="G57" i="7" s="1"/>
  <c r="D60" i="7"/>
  <c r="H60" i="7" s="1"/>
  <c r="I60" i="7" s="1"/>
  <c r="I43" i="7"/>
  <c r="C59" i="7"/>
  <c r="D88" i="7"/>
  <c r="H88" i="7" s="1"/>
  <c r="I88" i="7" s="1"/>
  <c r="C41" i="7"/>
  <c r="G41" i="7" s="1"/>
  <c r="D44" i="7"/>
  <c r="H44" i="7" s="1"/>
  <c r="I55" i="7"/>
  <c r="C33" i="7"/>
  <c r="G33" i="7" s="1"/>
  <c r="D36" i="7"/>
  <c r="H36" i="7" s="1"/>
  <c r="I36" i="7" s="1"/>
  <c r="C49" i="7"/>
  <c r="G49" i="7" s="1"/>
  <c r="D52" i="7"/>
  <c r="H52" i="7" s="1"/>
  <c r="I52" i="7" s="1"/>
  <c r="C28" i="7"/>
  <c r="G28" i="7" s="1"/>
  <c r="G35" i="7"/>
  <c r="I35" i="7" s="1"/>
  <c r="D98" i="7"/>
  <c r="H98" i="7" s="1"/>
  <c r="I98" i="7" s="1"/>
  <c r="I51" i="7"/>
  <c r="D92" i="7"/>
  <c r="H92" i="7" s="1"/>
  <c r="I92" i="7" s="1"/>
  <c r="D20" i="7"/>
  <c r="H20" i="7" s="1"/>
  <c r="G39" i="7"/>
  <c r="I39" i="7" s="1"/>
  <c r="D69" i="7"/>
  <c r="H69" i="7" s="1"/>
  <c r="I69" i="7" s="1"/>
  <c r="E20" i="7"/>
  <c r="F20" i="7" s="1"/>
  <c r="D32" i="7"/>
  <c r="H32" i="7" s="1"/>
  <c r="I32" i="7" s="1"/>
  <c r="C37" i="7"/>
  <c r="G37" i="7" s="1"/>
  <c r="D40" i="7"/>
  <c r="H40" i="7" s="1"/>
  <c r="I40" i="7" s="1"/>
  <c r="C45" i="7"/>
  <c r="G45" i="7" s="1"/>
  <c r="D48" i="7"/>
  <c r="H48" i="7" s="1"/>
  <c r="I48" i="7" s="1"/>
  <c r="C53" i="7"/>
  <c r="G53" i="7" s="1"/>
  <c r="D56" i="7"/>
  <c r="H56" i="7" s="1"/>
  <c r="I56" i="7" s="1"/>
  <c r="C61" i="7"/>
  <c r="G61" i="7" s="1"/>
  <c r="D73" i="7"/>
  <c r="H73" i="7" s="1"/>
  <c r="I73" i="7" s="1"/>
  <c r="D22" i="7"/>
  <c r="H22" i="7" s="1"/>
  <c r="I22" i="7" s="1"/>
  <c r="G25" i="7"/>
  <c r="D25" i="7"/>
  <c r="H25" i="7" s="1"/>
  <c r="D42" i="7"/>
  <c r="H42" i="7" s="1"/>
  <c r="G42" i="7"/>
  <c r="D50" i="7"/>
  <c r="H50" i="7" s="1"/>
  <c r="G50" i="7"/>
  <c r="D58" i="7"/>
  <c r="H58" i="7" s="1"/>
  <c r="G58" i="7"/>
  <c r="G78" i="7"/>
  <c r="D78" i="7"/>
  <c r="H78" i="7" s="1"/>
  <c r="G83" i="7"/>
  <c r="D83" i="7"/>
  <c r="H83" i="7" s="1"/>
  <c r="D91" i="7"/>
  <c r="H91" i="7" s="1"/>
  <c r="G91" i="7"/>
  <c r="G97" i="7"/>
  <c r="D97" i="7"/>
  <c r="H97" i="7" s="1"/>
  <c r="G29" i="7"/>
  <c r="D29" i="7"/>
  <c r="H29" i="7" s="1"/>
  <c r="C24" i="7"/>
  <c r="G27" i="7"/>
  <c r="D27" i="7"/>
  <c r="H27" i="7" s="1"/>
  <c r="D26" i="7"/>
  <c r="H26" i="7" s="1"/>
  <c r="G26" i="7"/>
  <c r="G68" i="7"/>
  <c r="D68" i="7"/>
  <c r="H68" i="7" s="1"/>
  <c r="G74" i="7"/>
  <c r="D74" i="7"/>
  <c r="H74" i="7" s="1"/>
  <c r="G79" i="7"/>
  <c r="D79" i="7"/>
  <c r="H79" i="7" s="1"/>
  <c r="G84" i="7"/>
  <c r="D84" i="7"/>
  <c r="H84" i="7" s="1"/>
  <c r="G23" i="7"/>
  <c r="D23" i="7"/>
  <c r="H23" i="7" s="1"/>
  <c r="D77" i="7"/>
  <c r="H77" i="7" s="1"/>
  <c r="I77" i="7" s="1"/>
  <c r="G93" i="7"/>
  <c r="D93" i="7"/>
  <c r="H93" i="7" s="1"/>
  <c r="D89" i="7"/>
  <c r="H89" i="7" s="1"/>
  <c r="I89" i="7" s="1"/>
  <c r="D34" i="7"/>
  <c r="H34" i="7" s="1"/>
  <c r="G34" i="7"/>
  <c r="G67" i="7"/>
  <c r="D67" i="7"/>
  <c r="H67" i="7" s="1"/>
  <c r="D30" i="7"/>
  <c r="H30" i="7" s="1"/>
  <c r="G30" i="7"/>
  <c r="D38" i="7"/>
  <c r="H38" i="7" s="1"/>
  <c r="G38" i="7"/>
  <c r="D46" i="7"/>
  <c r="H46" i="7" s="1"/>
  <c r="G46" i="7"/>
  <c r="D54" i="7"/>
  <c r="H54" i="7" s="1"/>
  <c r="G54" i="7"/>
  <c r="D62" i="7"/>
  <c r="H62" i="7" s="1"/>
  <c r="G62" i="7"/>
  <c r="G64" i="7"/>
  <c r="D64" i="7"/>
  <c r="H64" i="7" s="1"/>
  <c r="G70" i="7"/>
  <c r="D70" i="7"/>
  <c r="H70" i="7" s="1"/>
  <c r="G75" i="7"/>
  <c r="D75" i="7"/>
  <c r="H75" i="7" s="1"/>
  <c r="G80" i="7"/>
  <c r="D80" i="7"/>
  <c r="H80" i="7" s="1"/>
  <c r="G86" i="7"/>
  <c r="D86" i="7"/>
  <c r="H86" i="7" s="1"/>
  <c r="D65" i="7"/>
  <c r="H65" i="7" s="1"/>
  <c r="I65" i="7" s="1"/>
  <c r="D81" i="7"/>
  <c r="H81" i="7" s="1"/>
  <c r="I81" i="7" s="1"/>
  <c r="D99" i="7"/>
  <c r="H99" i="7" s="1"/>
  <c r="G99" i="7"/>
  <c r="D90" i="7"/>
  <c r="H90" i="7" s="1"/>
  <c r="I90" i="7" s="1"/>
  <c r="G72" i="7"/>
  <c r="D72" i="7"/>
  <c r="H72" i="7" s="1"/>
  <c r="G21" i="7"/>
  <c r="D21" i="7"/>
  <c r="H21" i="7" s="1"/>
  <c r="I44" i="7"/>
  <c r="G66" i="7"/>
  <c r="D66" i="7"/>
  <c r="H66" i="7" s="1"/>
  <c r="G71" i="7"/>
  <c r="D71" i="7"/>
  <c r="H71" i="7" s="1"/>
  <c r="G76" i="7"/>
  <c r="D76" i="7"/>
  <c r="H76" i="7" s="1"/>
  <c r="G82" i="7"/>
  <c r="D82" i="7"/>
  <c r="H82" i="7" s="1"/>
  <c r="D85" i="7"/>
  <c r="H85" i="7" s="1"/>
  <c r="I85" i="7" s="1"/>
  <c r="G95" i="7"/>
  <c r="D95" i="7"/>
  <c r="H95" i="7" s="1"/>
  <c r="D94" i="7"/>
  <c r="H94" i="7" s="1"/>
  <c r="I94" i="7" s="1"/>
  <c r="B1" i="7"/>
  <c r="C1" i="7" s="1"/>
  <c r="B2" i="7"/>
  <c r="C2" i="7" s="1"/>
  <c r="B3" i="7"/>
  <c r="C3" i="7" s="1"/>
  <c r="B4" i="7"/>
  <c r="C4" i="7" s="1"/>
  <c r="B5" i="7"/>
  <c r="C5" i="7" s="1"/>
  <c r="B6" i="7"/>
  <c r="C6" i="7" s="1"/>
  <c r="B7" i="7"/>
  <c r="C7" i="7" s="1"/>
  <c r="B8" i="7"/>
  <c r="C8" i="7" s="1"/>
  <c r="B9" i="7"/>
  <c r="C9" i="7" s="1"/>
  <c r="G9" i="7" s="1"/>
  <c r="B10" i="7"/>
  <c r="C10" i="7" s="1"/>
  <c r="B11" i="7"/>
  <c r="C11" i="7" s="1"/>
  <c r="B12" i="7"/>
  <c r="C12" i="7" s="1"/>
  <c r="B13" i="7"/>
  <c r="C13" i="7" s="1"/>
  <c r="G13" i="7" s="1"/>
  <c r="B14" i="7"/>
  <c r="C14" i="7" s="1"/>
  <c r="B15" i="7"/>
  <c r="C15" i="7" s="1"/>
  <c r="B16" i="7"/>
  <c r="C16" i="7" s="1"/>
  <c r="B17" i="7"/>
  <c r="C17" i="7" s="1"/>
  <c r="B18" i="7"/>
  <c r="C18" i="7" s="1"/>
  <c r="B19" i="7"/>
  <c r="C19" i="7" s="1"/>
  <c r="I54" i="7" l="1"/>
  <c r="D61" i="7"/>
  <c r="H61" i="7" s="1"/>
  <c r="I61" i="7" s="1"/>
  <c r="I20" i="7"/>
  <c r="D33" i="7"/>
  <c r="H33" i="7" s="1"/>
  <c r="I33" i="7" s="1"/>
  <c r="D41" i="7"/>
  <c r="H41" i="7" s="1"/>
  <c r="I41" i="7" s="1"/>
  <c r="D53" i="7"/>
  <c r="H53" i="7" s="1"/>
  <c r="I53" i="7" s="1"/>
  <c r="D57" i="7"/>
  <c r="H57" i="7" s="1"/>
  <c r="I57" i="7" s="1"/>
  <c r="D28" i="7"/>
  <c r="H28" i="7" s="1"/>
  <c r="I28" i="7" s="1"/>
  <c r="D37" i="7"/>
  <c r="H37" i="7" s="1"/>
  <c r="I37" i="7" s="1"/>
  <c r="I46" i="7"/>
  <c r="I34" i="7"/>
  <c r="G59" i="7"/>
  <c r="D59" i="7"/>
  <c r="H59" i="7" s="1"/>
  <c r="I26" i="7"/>
  <c r="I76" i="7"/>
  <c r="I66" i="7"/>
  <c r="I79" i="7"/>
  <c r="I27" i="7"/>
  <c r="D45" i="7"/>
  <c r="H45" i="7" s="1"/>
  <c r="I45" i="7" s="1"/>
  <c r="I23" i="7"/>
  <c r="I68" i="7"/>
  <c r="D49" i="7"/>
  <c r="H49" i="7" s="1"/>
  <c r="I49" i="7" s="1"/>
  <c r="I58" i="7"/>
  <c r="I86" i="7"/>
  <c r="I75" i="7"/>
  <c r="I64" i="7"/>
  <c r="I38" i="7"/>
  <c r="I67" i="7"/>
  <c r="I21" i="7"/>
  <c r="I62" i="7"/>
  <c r="I30" i="7"/>
  <c r="I83" i="7"/>
  <c r="I42" i="7"/>
  <c r="I99" i="7"/>
  <c r="I50" i="7"/>
  <c r="G24" i="7"/>
  <c r="D24" i="7"/>
  <c r="H24" i="7" s="1"/>
  <c r="I95" i="7"/>
  <c r="I72" i="7"/>
  <c r="I80" i="7"/>
  <c r="I70" i="7"/>
  <c r="I84" i="7"/>
  <c r="I74" i="7"/>
  <c r="I97" i="7"/>
  <c r="I78" i="7"/>
  <c r="I25" i="7"/>
  <c r="I82" i="7"/>
  <c r="I71" i="7"/>
  <c r="I93" i="7"/>
  <c r="I29" i="7"/>
  <c r="I91" i="7"/>
  <c r="E5" i="7"/>
  <c r="F5" i="7" s="1"/>
  <c r="E17" i="7"/>
  <c r="F17" i="7" s="1"/>
  <c r="E13" i="7"/>
  <c r="F13" i="7" s="1"/>
  <c r="E9" i="7"/>
  <c r="F9" i="7" s="1"/>
  <c r="D9" i="7"/>
  <c r="H9" i="7" s="1"/>
  <c r="G5" i="7"/>
  <c r="D5" i="7"/>
  <c r="H5" i="7" s="1"/>
  <c r="G17" i="7"/>
  <c r="D17" i="7"/>
  <c r="H17" i="7" s="1"/>
  <c r="G10" i="7"/>
  <c r="D10" i="7"/>
  <c r="H10" i="7" s="1"/>
  <c r="E16" i="7"/>
  <c r="F16" i="7" s="1"/>
  <c r="E12" i="7"/>
  <c r="F12" i="7" s="1"/>
  <c r="E8" i="7"/>
  <c r="F8" i="7" s="1"/>
  <c r="E4" i="7"/>
  <c r="F4" i="7" s="1"/>
  <c r="D13" i="7"/>
  <c r="H13" i="7" s="1"/>
  <c r="D18" i="7"/>
  <c r="H18" i="7" s="1"/>
  <c r="G18" i="7"/>
  <c r="G6" i="7"/>
  <c r="D6" i="7"/>
  <c r="H6" i="7" s="1"/>
  <c r="G16" i="7"/>
  <c r="D16" i="7"/>
  <c r="H16" i="7" s="1"/>
  <c r="G12" i="7"/>
  <c r="D12" i="7"/>
  <c r="H12" i="7" s="1"/>
  <c r="D8" i="7"/>
  <c r="H8" i="7" s="1"/>
  <c r="G8" i="7"/>
  <c r="G4" i="7"/>
  <c r="D4" i="7"/>
  <c r="H4" i="7" s="1"/>
  <c r="E19" i="7"/>
  <c r="F19" i="7" s="1"/>
  <c r="E15" i="7"/>
  <c r="F15" i="7" s="1"/>
  <c r="E11" i="7"/>
  <c r="F11" i="7" s="1"/>
  <c r="E7" i="7"/>
  <c r="F7" i="7" s="1"/>
  <c r="E3" i="7"/>
  <c r="F3" i="7" s="1"/>
  <c r="G14" i="7"/>
  <c r="D14" i="7"/>
  <c r="H14" i="7" s="1"/>
  <c r="G2" i="7"/>
  <c r="D2" i="7"/>
  <c r="H2" i="7" s="1"/>
  <c r="G19" i="7"/>
  <c r="D19" i="7"/>
  <c r="H19" i="7" s="1"/>
  <c r="G15" i="7"/>
  <c r="D15" i="7"/>
  <c r="H15" i="7" s="1"/>
  <c r="G11" i="7"/>
  <c r="D11" i="7"/>
  <c r="H11" i="7" s="1"/>
  <c r="G7" i="7"/>
  <c r="D7" i="7"/>
  <c r="H7" i="7" s="1"/>
  <c r="G3" i="7"/>
  <c r="D3" i="7"/>
  <c r="H3" i="7" s="1"/>
  <c r="E18" i="7"/>
  <c r="F18" i="7" s="1"/>
  <c r="E14" i="7"/>
  <c r="F14" i="7" s="1"/>
  <c r="E10" i="7"/>
  <c r="F10" i="7" s="1"/>
  <c r="E6" i="7"/>
  <c r="F6" i="7" s="1"/>
  <c r="E2" i="7"/>
  <c r="F2" i="7" s="1"/>
  <c r="D1" i="7"/>
  <c r="H1" i="7" s="1"/>
  <c r="G1" i="7"/>
  <c r="E1" i="7"/>
  <c r="F1" i="7" s="1"/>
  <c r="AH4" i="3"/>
  <c r="L12" i="8" s="1"/>
  <c r="I13" i="7" l="1"/>
  <c r="AG26" i="3"/>
  <c r="AG18" i="3"/>
  <c r="I59" i="7"/>
  <c r="AG16" i="3"/>
  <c r="AG22" i="3"/>
  <c r="I17" i="7"/>
  <c r="I9" i="7"/>
  <c r="AG30" i="3"/>
  <c r="I2" i="7"/>
  <c r="AG23" i="3" s="1"/>
  <c r="AG20" i="3"/>
  <c r="AG31" i="3"/>
  <c r="AG24" i="3"/>
  <c r="AG27" i="3"/>
  <c r="I5" i="7"/>
  <c r="AG21" i="3"/>
  <c r="AG25" i="3"/>
  <c r="AG28" i="3"/>
  <c r="I24" i="7"/>
  <c r="I14" i="7"/>
  <c r="I10" i="7"/>
  <c r="I12" i="7"/>
  <c r="I15" i="7"/>
  <c r="I18" i="7"/>
  <c r="AG14" i="3" s="1"/>
  <c r="I3" i="7"/>
  <c r="AG12" i="3" s="1"/>
  <c r="I19" i="7"/>
  <c r="I16" i="7"/>
  <c r="I6" i="7"/>
  <c r="I7" i="7"/>
  <c r="I4" i="7"/>
  <c r="I11" i="7"/>
  <c r="I8" i="7"/>
  <c r="I1" i="7"/>
  <c r="AG11" i="3" s="1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1" i="3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" i="4"/>
  <c r="AG17" i="3" l="1"/>
  <c r="AG19" i="3"/>
  <c r="AG29" i="3"/>
  <c r="AG13" i="3"/>
  <c r="AG15" i="3"/>
  <c r="G23" i="4" l="1"/>
  <c r="F23" i="4"/>
  <c r="H23" i="4"/>
  <c r="I23" i="4" l="1"/>
  <c r="AH3" i="3"/>
  <c r="AH2" i="3"/>
  <c r="AH17" i="3" l="1"/>
  <c r="AH18" i="3"/>
  <c r="K10" i="4" l="1"/>
  <c r="K14" i="4"/>
  <c r="K18" i="4"/>
  <c r="K2" i="4"/>
  <c r="K6" i="4"/>
  <c r="K8" i="4"/>
  <c r="K12" i="4"/>
  <c r="K16" i="4"/>
  <c r="K20" i="4"/>
  <c r="K9" i="4"/>
  <c r="K22" i="4"/>
  <c r="K17" i="4"/>
  <c r="K15" i="4"/>
  <c r="K13" i="4"/>
  <c r="K11" i="4"/>
  <c r="K21" i="4"/>
  <c r="K7" i="4"/>
  <c r="K19" i="4"/>
  <c r="K3" i="4"/>
  <c r="K5" i="4"/>
  <c r="K4" i="4"/>
  <c r="AH13" i="3"/>
  <c r="AH14" i="3"/>
  <c r="AH15" i="3"/>
  <c r="AH16" i="3"/>
  <c r="AH12" i="3"/>
  <c r="AH11" i="3"/>
  <c r="AH32" i="3" l="1"/>
</calcChain>
</file>

<file path=xl/comments1.xml><?xml version="1.0" encoding="utf-8"?>
<comments xmlns="http://schemas.openxmlformats.org/spreadsheetml/2006/main">
  <authors>
    <author>Ганув Володимир Андрійович</author>
  </authors>
  <commentList>
    <comment ref="J6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Приклад:
</t>
        </r>
        <r>
          <rPr>
            <sz val="9"/>
            <color indexed="81"/>
            <rFont val="Tahoma"/>
            <family val="2"/>
            <charset val="204"/>
          </rPr>
          <t>№</t>
        </r>
        <r>
          <rPr>
            <sz val="9"/>
            <color indexed="81"/>
            <rFont val="Tahoma"/>
            <family val="2"/>
            <charset val="204"/>
          </rPr>
          <t>7105СЛ-22-2407 від 02.09.2022 року</t>
        </r>
      </text>
    </comment>
  </commentList>
</comments>
</file>

<file path=xl/sharedStrings.xml><?xml version="1.0" encoding="utf-8"?>
<sst xmlns="http://schemas.openxmlformats.org/spreadsheetml/2006/main" count="370" uniqueCount="241">
  <si>
    <t>Призвище, Ім'я та По батькові</t>
  </si>
  <si>
    <t>Посада</t>
  </si>
  <si>
    <t>Транспорт</t>
  </si>
  <si>
    <t>Бечкало Андрій Петрович</t>
  </si>
  <si>
    <t>Ганув Володимир Андрійович</t>
  </si>
  <si>
    <t>Присуха Сергій Анатолійович</t>
  </si>
  <si>
    <t>Клименко Андрій Миколайович</t>
  </si>
  <si>
    <t>Мєржан Віталій Федорович</t>
  </si>
  <si>
    <t>Йовченко Анатолій Михайлович</t>
  </si>
  <si>
    <t>Стратан Віктор Миколайович</t>
  </si>
  <si>
    <t>Деде Анатолій Дмитрович</t>
  </si>
  <si>
    <t>Івахів Роман Григорович</t>
  </si>
  <si>
    <t>Дворнік Анатолій Олександрович</t>
  </si>
  <si>
    <t>Кіров Сергій Володимирович</t>
  </si>
  <si>
    <t>Гончаров Олексій Васильович</t>
  </si>
  <si>
    <t>Номер наказу</t>
  </si>
  <si>
    <t>Дата наказу</t>
  </si>
  <si>
    <t>ПІБ</t>
  </si>
  <si>
    <t>№</t>
  </si>
  <si>
    <t>01</t>
  </si>
  <si>
    <t>січня</t>
  </si>
  <si>
    <t>02</t>
  </si>
  <si>
    <t>лютого</t>
  </si>
  <si>
    <t>03</t>
  </si>
  <si>
    <t>березня</t>
  </si>
  <si>
    <t>04</t>
  </si>
  <si>
    <t>квітня</t>
  </si>
  <si>
    <t>05</t>
  </si>
  <si>
    <t>травня</t>
  </si>
  <si>
    <t>06</t>
  </si>
  <si>
    <t>червня</t>
  </si>
  <si>
    <t>07</t>
  </si>
  <si>
    <t>липня</t>
  </si>
  <si>
    <t>08</t>
  </si>
  <si>
    <t>серпня</t>
  </si>
  <si>
    <t>09</t>
  </si>
  <si>
    <t>вересня</t>
  </si>
  <si>
    <t>10</t>
  </si>
  <si>
    <t>жовтня</t>
  </si>
  <si>
    <t>11</t>
  </si>
  <si>
    <t>листопада</t>
  </si>
  <si>
    <t>12</t>
  </si>
  <si>
    <t>грудня</t>
  </si>
  <si>
    <t>Дата відправлення</t>
  </si>
  <si>
    <t>Дата приїзду</t>
  </si>
  <si>
    <t>Добові</t>
  </si>
  <si>
    <t>Проживання</t>
  </si>
  <si>
    <t>Кількість днів (добових)</t>
  </si>
  <si>
    <t>Савельєв Сергій Борисович</t>
  </si>
  <si>
    <t>Комар Микола Анатолійович</t>
  </si>
  <si>
    <t>Дідичук Віталій Юрійович</t>
  </si>
  <si>
    <t xml:space="preserve">Витрати на автомобіль (парковка, мийка, паливо, інші) </t>
  </si>
  <si>
    <t xml:space="preserve">Інші витрати (плата за участь у виставках, тощо) </t>
  </si>
  <si>
    <t>ВСЬОГО</t>
  </si>
  <si>
    <t>Кількість днів (проживання)</t>
  </si>
  <si>
    <t>Проїзд</t>
  </si>
  <si>
    <t>Кількість днів (проїзду)</t>
  </si>
  <si>
    <t>Куява Павло Адамович</t>
  </si>
  <si>
    <t>Небайкін Олег Володимирович</t>
  </si>
  <si>
    <t>Боровський Олег Афанасійович</t>
  </si>
  <si>
    <t>Проїзд транспортом</t>
  </si>
  <si>
    <t>Гаражування транспорту</t>
  </si>
  <si>
    <t>КАМАЗ 43105 державний номер КА 3226 ВІ</t>
  </si>
  <si>
    <t>MAN-TGS державний номер КА 8466 ВК</t>
  </si>
  <si>
    <t>Volkswagen Amarok державний номер КА 4051 ВС</t>
  </si>
  <si>
    <t>№п/п</t>
  </si>
  <si>
    <t>ПІБ, TN</t>
  </si>
  <si>
    <t>Посада/професія</t>
  </si>
  <si>
    <t>Дата (початку та кінця відрядження)</t>
  </si>
  <si>
    <t>Добові,грн.</t>
  </si>
  <si>
    <t>Проживання,грн.</t>
  </si>
  <si>
    <t>Проїзд,грн.</t>
  </si>
  <si>
    <t>Інше,грн.</t>
  </si>
  <si>
    <t>Разом,грн.</t>
  </si>
  <si>
    <t>Підпис працівника</t>
  </si>
  <si>
    <t>Всього:</t>
  </si>
  <si>
    <t>Литвинюк Андрій Васильович</t>
  </si>
  <si>
    <t>Колесниченко Сергій Володимирович</t>
  </si>
  <si>
    <t>МАЗ 6317F5 державний номер КА 1162 AP</t>
  </si>
  <si>
    <t>Дата</t>
  </si>
  <si>
    <t>Текст</t>
  </si>
  <si>
    <t>Версия</t>
  </si>
  <si>
    <t>Макрос "ReportTemplate": додана крапка в тексті після формузання фрази про місце відрядження.</t>
  </si>
  <si>
    <t>Макрос "ReportTemplate": виправленно фразу "дати відрядження" на "Дати відрядження.</t>
  </si>
  <si>
    <t>Лист "Розрахунок": кнопки для створення розрахунку на группу працівників і на одного працівника поміняні місцями.</t>
  </si>
  <si>
    <t>Лист "Розрахунок": кнопка для створення розрахунку на группу працівників тепер "зеленого" кольору, а на одного працівника "синього".</t>
  </si>
  <si>
    <t>Створено Лист "Журнал оновлень".</t>
  </si>
  <si>
    <r>
      <t xml:space="preserve">Макрос "MakeReport_2": створено цикл для підбору правильного значення перемінної </t>
    </r>
    <r>
      <rPr>
        <i/>
        <sz val="11"/>
        <color theme="1"/>
        <rFont val="72 Light"/>
        <family val="2"/>
        <charset val="204"/>
      </rPr>
      <t>days.</t>
    </r>
  </si>
  <si>
    <r>
      <t>Макрос "MakeReport_2": створено нову переміння "</t>
    </r>
    <r>
      <rPr>
        <i/>
        <sz val="11"/>
        <color theme="1"/>
        <rFont val="72 Light"/>
        <family val="2"/>
        <charset val="204"/>
      </rPr>
      <t>days</t>
    </r>
    <r>
      <rPr>
        <sz val="11"/>
        <color theme="1"/>
        <rFont val="72 Light"/>
        <family val="2"/>
        <charset val="204"/>
      </rPr>
      <t>".</t>
    </r>
  </si>
  <si>
    <r>
      <t>Макрос "ReportTemplate_2": розшиненно функцію "Report_2" перемінною</t>
    </r>
    <r>
      <rPr>
        <i/>
        <sz val="11"/>
        <color theme="1"/>
        <rFont val="72 Light"/>
        <family val="2"/>
        <charset val="204"/>
      </rPr>
      <t xml:space="preserve"> days</t>
    </r>
    <r>
      <rPr>
        <sz val="11"/>
        <color theme="1"/>
        <rFont val="72 Light"/>
        <family val="2"/>
        <charset val="204"/>
      </rPr>
      <t>.</t>
    </r>
  </si>
  <si>
    <r>
      <t xml:space="preserve">Макрос "ReportTemplate_2": зміненно код генерації строки про місце відрядження - "Термін відрядження " &amp; </t>
    </r>
    <r>
      <rPr>
        <b/>
        <sz val="11"/>
        <color theme="1"/>
        <rFont val="72 Light"/>
        <family val="2"/>
        <charset val="204"/>
      </rPr>
      <t>Range("tot_days") &amp; days</t>
    </r>
    <r>
      <rPr>
        <sz val="11"/>
        <color theme="1"/>
        <rFont val="72 Light"/>
        <family val="2"/>
        <charset val="204"/>
      </rPr>
      <t xml:space="preserve"> &amp; Worksheets("Розрахунок").Range("Z2") &amp; …</t>
    </r>
  </si>
  <si>
    <t>v. 1.1</t>
  </si>
  <si>
    <t>Лист "Розрахунок": розширено форму, додано пункт вибору ПІБ того хто склав рахунок.</t>
  </si>
  <si>
    <t>КрАЗ-65101 державний номер КА 4081 ВС</t>
  </si>
  <si>
    <t>Створено Лист "Відмінки". Лист скрито.</t>
  </si>
  <si>
    <t>Лист "Розрахунок" розширено стовбцем із посиланням на значення із листа "Відмінки".</t>
  </si>
  <si>
    <r>
      <t xml:space="preserve">Макрос "MakeReport": змінено посилання Worksheets("Розрахунок").Range("В11:В31") на Worksheets("Розрахунок").Range("Y11:Y31") для визначення </t>
    </r>
    <r>
      <rPr>
        <i/>
        <sz val="11"/>
        <color theme="1"/>
        <rFont val="72 Light"/>
        <family val="2"/>
        <charset val="204"/>
      </rPr>
      <t>fName.</t>
    </r>
  </si>
  <si>
    <t>Макрос "ReportTemplate": змінено код генерації строки "Згідно з наказом …" функції "Report".</t>
  </si>
  <si>
    <t>Макрос "MakeReport": розшерено код для вікна, що з'являеться після вдалого створення звітів.</t>
  </si>
  <si>
    <t>Макрос "ReportTemplate": зменшено відстань між "підпис" та "_____________" для підпису.</t>
  </si>
  <si>
    <t>Макрос "MakeReport_2": розшерено код для вікна, що з'являеться після вдалого створення звітів.</t>
  </si>
  <si>
    <t>Кидриченко Сергій Анатолійович</t>
  </si>
  <si>
    <r>
      <t xml:space="preserve">Розрахунок склав
</t>
    </r>
    <r>
      <rPr>
        <i/>
        <sz val="9"/>
        <color theme="1"/>
        <rFont val="Times New Roman"/>
        <family val="1"/>
        <charset val="204"/>
      </rPr>
      <t>(тільки для розрахунку витрат на відрядження для групи працівників)</t>
    </r>
  </si>
  <si>
    <r>
      <t xml:space="preserve">Назва населених пунктів
</t>
    </r>
    <r>
      <rPr>
        <i/>
        <sz val="9"/>
        <color theme="1"/>
        <rFont val="Times New Roman"/>
        <family val="1"/>
        <charset val="204"/>
      </rPr>
      <t>(відрядити до)</t>
    </r>
  </si>
  <si>
    <r>
      <t xml:space="preserve">Ціль відрядження
</t>
    </r>
    <r>
      <rPr>
        <i/>
        <sz val="9"/>
        <color theme="1"/>
        <rFont val="Times New Roman"/>
        <family val="1"/>
        <charset val="204"/>
      </rPr>
      <t>(що робив)</t>
    </r>
  </si>
  <si>
    <t>Лист "Розрахунок": виправлено формулу пошуку ПІБ в давальному відмінку.</t>
  </si>
  <si>
    <t>Лист "Розрахунок": додано уточнуюча інформація в лапках в назвах деяких стовпців.</t>
  </si>
  <si>
    <t>Лист "База данних": водія Кидриченко С. А. додано до бази данних.</t>
  </si>
  <si>
    <t>Іджилов Віктор Іванович</t>
  </si>
  <si>
    <t>Чорний Олександр Миколайович</t>
  </si>
  <si>
    <t>Daewoo Maximus державний номер ВЕ 6953 ЕМ</t>
  </si>
  <si>
    <t>Лист "База данних": машиніста екскаватора Іджилова В. І. додано до бази данних.</t>
  </si>
  <si>
    <t>Лист "База данних": водія Чорного О. М. додано до бази данних.</t>
  </si>
  <si>
    <t>Лист "База данних": транспорт Daewoo Maximus державний номер ВЕ 6953 ЕМ додано до бази данних.</t>
  </si>
  <si>
    <t>Кухтєй Віктор Володимирович</t>
  </si>
  <si>
    <t>Лист "База данних": начальника служби Кухтєя В. В. додано до бази данних.</t>
  </si>
  <si>
    <t>TN</t>
  </si>
  <si>
    <t>Начальник служби ЛЕС</t>
  </si>
  <si>
    <t xml:space="preserve">Трубопровідник лінійний </t>
  </si>
  <si>
    <t xml:space="preserve">Обхідник лінійний </t>
  </si>
  <si>
    <t xml:space="preserve">Електрозварник ручного зварювання </t>
  </si>
  <si>
    <t xml:space="preserve">Газозварник </t>
  </si>
  <si>
    <t xml:space="preserve">Інженер з експлуатації ЛЧ МГ </t>
  </si>
  <si>
    <t xml:space="preserve">Водій автотранспортних засобів </t>
  </si>
  <si>
    <t xml:space="preserve">Машиніст екскаватора </t>
  </si>
  <si>
    <t>Начальник дільниці</t>
  </si>
  <si>
    <r>
      <t xml:space="preserve">Номер службової записки
</t>
    </r>
    <r>
      <rPr>
        <i/>
        <sz val="9"/>
        <color theme="1"/>
        <rFont val="Times New Roman"/>
        <family val="1"/>
        <charset val="204"/>
      </rPr>
      <t>(тільки для розрахунку витрат на відрядження для групи працівників)</t>
    </r>
  </si>
  <si>
    <t>Лист "Розрахунок": додано графу "Номер службової записки" та примітку, як має виглядати запис.</t>
  </si>
  <si>
    <t>Макрос "MakeReport_3": змінено "відрядження в " -&gt; "відрядження до ".</t>
  </si>
  <si>
    <t>Макрос "MakeReport_3": розширено код формування тексту Додатку№5 формулою WorksheetFunction.Trim(Range("num_of_memo")).</t>
  </si>
  <si>
    <r>
      <t>Лист "Розрахунок": ячейка Worksheets("Розрахунок").Range("J6") отримала ім'я - "</t>
    </r>
    <r>
      <rPr>
        <i/>
        <sz val="11"/>
        <color theme="1"/>
        <rFont val="72 Light"/>
        <family val="2"/>
        <charset val="204"/>
      </rPr>
      <t>num_of_memo</t>
    </r>
    <r>
      <rPr>
        <sz val="11"/>
        <color theme="1"/>
        <rFont val="72 Light"/>
        <family val="2"/>
        <charset val="204"/>
      </rPr>
      <t>".</t>
    </r>
  </si>
  <si>
    <r>
      <t>Ячейка Worksheets("Розрахунок").Range("H4") отримала ім'я - "</t>
    </r>
    <r>
      <rPr>
        <i/>
        <sz val="11"/>
        <color theme="1"/>
        <rFont val="72 Light"/>
        <family val="2"/>
        <charset val="204"/>
      </rPr>
      <t>tot_days</t>
    </r>
    <r>
      <rPr>
        <sz val="11"/>
        <color theme="1"/>
        <rFont val="72 Light"/>
        <family val="2"/>
        <charset val="204"/>
      </rPr>
      <t>".</t>
    </r>
  </si>
  <si>
    <t>(окремо для кожного)</t>
  </si>
  <si>
    <t>Додаток №4 - Розрахунок витрат на відрядження</t>
  </si>
  <si>
    <t>Ліве поле</t>
  </si>
  <si>
    <t>Праве поле</t>
  </si>
  <si>
    <t>Верхне поле</t>
  </si>
  <si>
    <t>Нижне поле</t>
  </si>
  <si>
    <t>Параметри сторінки</t>
  </si>
  <si>
    <t>ПІБ бухгалтера який перевірив розрахунок</t>
  </si>
  <si>
    <t>Додаткові параметри сторінки</t>
  </si>
  <si>
    <t>см</t>
  </si>
  <si>
    <t>Бухгалтер II кат. Лілія КОЦЮБА</t>
  </si>
  <si>
    <t>Додаток №5 - Розрахунок витрат на відрядження для групи працівників</t>
  </si>
  <si>
    <t>"ПЕРЕВІРЕНО"</t>
  </si>
  <si>
    <t xml:space="preserve">___________________                          </t>
  </si>
  <si>
    <t>Приклад:</t>
  </si>
  <si>
    <t>Розрахунок склав:______________________</t>
  </si>
  <si>
    <t>Лілія КОЦЮБА</t>
  </si>
  <si>
    <t>Розрахунок перевірено, бухгалтер:___________________</t>
  </si>
  <si>
    <t>Додаток №10 - Звіт про виконання завдання по відрядження</t>
  </si>
  <si>
    <t>(ПІБ бухгалтера)</t>
  </si>
  <si>
    <t>(підпис)</t>
  </si>
  <si>
    <t>(підпис керівника)</t>
  </si>
  <si>
    <t>(Власне ім`я, ПРІЗВИЩЕ)</t>
  </si>
  <si>
    <t>Євген ЛИТВИНЮК</t>
  </si>
  <si>
    <t>Ім'я та прізвище керівника</t>
  </si>
  <si>
    <r>
      <t xml:space="preserve">Макрос "MakeReport_3": розшиненно визов функції "Report_2" перемінною </t>
    </r>
    <r>
      <rPr>
        <i/>
        <sz val="11"/>
        <color theme="1"/>
        <rFont val="72 Light"/>
        <family val="2"/>
        <charset val="204"/>
      </rPr>
      <t>days.</t>
    </r>
  </si>
  <si>
    <t>Макрос "MakeReport_3": доданно силку на Worksheets("Розрахунок").Range("Z4") для вказівки хто створив звіт.</t>
  </si>
  <si>
    <t>Макрос "MakeReport_3": змінено "(Підпис,Власне ім`я, ПРІЗВИЩЕ)" на "Лілія КОЦЮБА".</t>
  </si>
  <si>
    <t>Створено Лист "Налаштування" та додані поля для редагування розміру полів сторінки та ПІБ бухгалтера та керівника.</t>
  </si>
  <si>
    <r>
      <t>Макрос "MakeReport_3": змінено код друку імені бухгалтера і додано посилання на &amp; Worksheets("Налаштування").Range("</t>
    </r>
    <r>
      <rPr>
        <b/>
        <sz val="11"/>
        <color theme="1"/>
        <rFont val="72 Light"/>
        <family val="2"/>
        <charset val="204"/>
      </rPr>
      <t>bookkeeper_5</t>
    </r>
    <r>
      <rPr>
        <sz val="11"/>
        <color theme="1"/>
        <rFont val="72 Light"/>
        <family val="2"/>
        <charset val="204"/>
      </rPr>
      <t>").</t>
    </r>
  </si>
  <si>
    <t>Макрос "ReportTemplate": тепер код бере данні для розміру полів сторінки з Листа "Налаштування".</t>
  </si>
  <si>
    <t>Макрос "MakeReport_3": тепер код бере данні для розміру полів сторінки з Листа "Налаштування".</t>
  </si>
  <si>
    <r>
      <t>Макрос "ReportTemplate": змінено код друку імені бухгалтера і додано посилання на &amp; Worksheets("Налаштування").Range("</t>
    </r>
    <r>
      <rPr>
        <b/>
        <sz val="11"/>
        <color theme="1"/>
        <rFont val="72 Light"/>
        <family val="2"/>
        <charset val="204"/>
      </rPr>
      <t>bookkeeper_4</t>
    </r>
    <r>
      <rPr>
        <sz val="11"/>
        <color theme="1"/>
        <rFont val="72 Light"/>
        <family val="2"/>
        <charset val="204"/>
      </rPr>
      <t>").</t>
    </r>
  </si>
  <si>
    <t>Макрос "ReportTemplate_2": тепер код бере данні для розміру полів сторінки з Листа "Налаштування".</t>
  </si>
  <si>
    <t>Макрос "ReportTemplate": змінено код друку імені керівника і додано посилання на &amp; Worksheets("Налаштування").Range("head_10").</t>
  </si>
  <si>
    <t>Інші</t>
  </si>
  <si>
    <r>
      <t xml:space="preserve">Лист "Розрахунок": розширено форму; додані </t>
    </r>
    <r>
      <rPr>
        <u/>
        <sz val="11"/>
        <color theme="1"/>
        <rFont val="72 Light"/>
        <family val="2"/>
        <charset val="204"/>
      </rPr>
      <t>CheckBox-си;</t>
    </r>
    <r>
      <rPr>
        <sz val="11"/>
        <color theme="1"/>
        <rFont val="72 Light"/>
        <family val="2"/>
        <charset val="204"/>
      </rPr>
      <t xml:space="preserve"> додано можливість порахувати витрати кожного працівника окремо; </t>
    </r>
  </si>
  <si>
    <t>Лист "Додаток №5": формули враховують окремий розрахунок і вкючають його результат до загального.</t>
  </si>
  <si>
    <t>Макрос "MakeReport_3": додано код, який перевіряє, перед тим як створювати файл, чи ніхто не змінив формули розрахунку.</t>
  </si>
  <si>
    <r>
      <t>Лист "Розрахунок": ячейка Worksheets("Розрахунок").Range("AA4") отримала ім'я - "</t>
    </r>
    <r>
      <rPr>
        <i/>
        <sz val="11"/>
        <color theme="1"/>
        <rFont val="72 Light"/>
        <family val="2"/>
        <charset val="204"/>
      </rPr>
      <t>made_the_calc</t>
    </r>
    <r>
      <rPr>
        <sz val="11"/>
        <color theme="1"/>
        <rFont val="72 Light"/>
        <family val="2"/>
        <charset val="204"/>
      </rPr>
      <t>".</t>
    </r>
  </si>
  <si>
    <r>
      <t>Макрос "MakeReport_3": змінено посилання Worksheets("Розрахунок").Range("Z4") на Worksheets("Розрахунок").Range("</t>
    </r>
    <r>
      <rPr>
        <b/>
        <sz val="11"/>
        <color theme="1"/>
        <rFont val="72 Light"/>
        <family val="2"/>
        <charset val="204"/>
      </rPr>
      <t>made_the_calc</t>
    </r>
    <r>
      <rPr>
        <sz val="11"/>
        <color theme="1"/>
        <rFont val="72 Light"/>
        <family val="2"/>
        <charset val="204"/>
      </rPr>
      <t>"), щоб уникнути проблем при розширенні форми.</t>
    </r>
  </si>
  <si>
    <r>
      <t>Макрос "MakeReport": змінено посилання Worksheets("Розрахунок").Range("Y11:Y31") на Worksheets("Розрахунок").Range("</t>
    </r>
    <r>
      <rPr>
        <b/>
        <sz val="10"/>
        <color theme="1"/>
        <rFont val="72 Light"/>
        <family val="2"/>
        <charset val="204"/>
      </rPr>
      <t>full_name</t>
    </r>
    <r>
      <rPr>
        <sz val="10"/>
        <color theme="1"/>
        <rFont val="72 Light"/>
        <family val="2"/>
        <charset val="204"/>
      </rPr>
      <t>"), щоб уникнути проблем при розширенні форми.</t>
    </r>
  </si>
  <si>
    <r>
      <t>Лист "Розрахунок": діапазон Worksheets("Розрахунок").Range("Z11:Z31") отримав ім'я - "</t>
    </r>
    <r>
      <rPr>
        <i/>
        <sz val="11"/>
        <color theme="1"/>
        <rFont val="72 Light"/>
        <family val="2"/>
        <charset val="204"/>
      </rPr>
      <t>full_name</t>
    </r>
    <r>
      <rPr>
        <sz val="11"/>
        <color theme="1"/>
        <rFont val="72 Light"/>
        <family val="2"/>
        <charset val="204"/>
      </rPr>
      <t>".</t>
    </r>
  </si>
  <si>
    <r>
      <t>Лист "Розрахунок": діапазон Worksheets("Розрахунок").Range("AA11:AA31") отримав ім'я - "</t>
    </r>
    <r>
      <rPr>
        <i/>
        <sz val="11"/>
        <color theme="1"/>
        <rFont val="72 Light"/>
        <family val="2"/>
        <charset val="204"/>
      </rPr>
      <t>short_name</t>
    </r>
    <r>
      <rPr>
        <sz val="11"/>
        <color theme="1"/>
        <rFont val="72 Light"/>
        <family val="2"/>
        <charset val="204"/>
      </rPr>
      <t>".</t>
    </r>
  </si>
  <si>
    <r>
      <t>Макрос "MakeReport": змінено посилання Worksheets("Розрахунок").Range("Y11:Y31") на Worksheets("Розрахунок").Range("</t>
    </r>
    <r>
      <rPr>
        <b/>
        <sz val="11"/>
        <color theme="1"/>
        <rFont val="72 Light"/>
        <family val="2"/>
        <charset val="204"/>
      </rPr>
      <t>short_name</t>
    </r>
    <r>
      <rPr>
        <sz val="11"/>
        <color theme="1"/>
        <rFont val="72 Light"/>
        <family val="2"/>
        <charset val="204"/>
      </rPr>
      <t>"), щоб уникнути проблем при розширенні форми.</t>
    </r>
  </si>
  <si>
    <r>
      <t>Лист "Розрахунок": ячейка Worksheets("Розрахунок").Range("AA1") отримала ім'я - "</t>
    </r>
    <r>
      <rPr>
        <i/>
        <sz val="11"/>
        <color theme="1"/>
        <rFont val="72 Light"/>
        <family val="2"/>
        <charset val="204"/>
      </rPr>
      <t>order_date</t>
    </r>
    <r>
      <rPr>
        <sz val="11"/>
        <color theme="1"/>
        <rFont val="72 Light"/>
        <family val="2"/>
        <charset val="204"/>
      </rPr>
      <t>".</t>
    </r>
  </si>
  <si>
    <r>
      <t>Лист "Розрахунок": ячейка Worksheets("Розрахунок").Range("AA2") отримала ім'я - "</t>
    </r>
    <r>
      <rPr>
        <i/>
        <sz val="11"/>
        <color theme="1"/>
        <rFont val="72 Light"/>
        <family val="2"/>
        <charset val="204"/>
      </rPr>
      <t>commence</t>
    </r>
    <r>
      <rPr>
        <sz val="11"/>
        <color theme="1"/>
        <rFont val="72 Light"/>
        <family val="2"/>
        <charset val="204"/>
      </rPr>
      <t>".</t>
    </r>
  </si>
  <si>
    <r>
      <t>Лист "Розрахунок": ячейка Worksheets("Розрахунок").Range("AA2") отримала ім'я - "</t>
    </r>
    <r>
      <rPr>
        <i/>
        <sz val="11"/>
        <color theme="1"/>
        <rFont val="72 Light"/>
        <family val="2"/>
        <charset val="204"/>
      </rPr>
      <t>complete</t>
    </r>
    <r>
      <rPr>
        <sz val="11"/>
        <color theme="1"/>
        <rFont val="72 Light"/>
        <family val="2"/>
        <charset val="204"/>
      </rPr>
      <t>".</t>
    </r>
  </si>
  <si>
    <t>v. 1.1.1</t>
  </si>
  <si>
    <t>v. 1.1.2</t>
  </si>
  <si>
    <t>v. 1.1.3</t>
  </si>
  <si>
    <t>v. 1.1.4</t>
  </si>
  <si>
    <t>v. 1.1.5</t>
  </si>
  <si>
    <t>v. 1.1.6</t>
  </si>
  <si>
    <t>v. 1.2.0</t>
  </si>
  <si>
    <r>
      <t xml:space="preserve">Макрос "ReportTemplate": змінено код генерації строки "Згідно з наказом від " &amp; </t>
    </r>
    <r>
      <rPr>
        <b/>
        <sz val="11"/>
        <color theme="1"/>
        <rFont val="72 Light"/>
        <family val="2"/>
        <charset val="204"/>
      </rPr>
      <t>Range("order_date")</t>
    </r>
    <r>
      <rPr>
        <sz val="11"/>
        <color theme="1"/>
        <rFont val="72 Light"/>
        <family val="2"/>
        <charset val="204"/>
      </rPr>
      <t xml:space="preserve"> &amp; …</t>
    </r>
  </si>
  <si>
    <r>
      <t xml:space="preserve">Макрос "ReportTemplate_2": зміненно код генерації строки про ціль відрядження - purpose &amp; ", згідно наказу №" &amp; Worksheets("Розрахунок").Range("D2") &amp; " від " &amp; </t>
    </r>
    <r>
      <rPr>
        <b/>
        <sz val="11"/>
        <color theme="1"/>
        <rFont val="72 Light"/>
        <family val="2"/>
        <charset val="204"/>
      </rPr>
      <t>Range("order_date").</t>
    </r>
  </si>
  <si>
    <r>
      <t xml:space="preserve">Макрос "ReportTemplate_2": зміненно код генерації строки про термін відрядження - "Термін відрядження " &amp; Range("tot_days") &amp; days &amp; </t>
    </r>
    <r>
      <rPr>
        <b/>
        <sz val="11"/>
        <color theme="1"/>
        <rFont val="72 Light"/>
        <family val="2"/>
        <charset val="204"/>
      </rPr>
      <t>Range("commence") &amp; " по " &amp; Range("complete").</t>
    </r>
  </si>
  <si>
    <r>
      <t>Лист "Розрахунок": діапазон Worksheets("Розрахунок").Range("M11:M31") отримав ім'я - "</t>
    </r>
    <r>
      <rPr>
        <i/>
        <sz val="11"/>
        <color theme="1"/>
        <rFont val="72 Light"/>
        <family val="2"/>
        <charset val="204"/>
      </rPr>
      <t>sep_calc</t>
    </r>
    <r>
      <rPr>
        <sz val="11"/>
        <color theme="1"/>
        <rFont val="72 Light"/>
        <family val="2"/>
        <charset val="204"/>
      </rPr>
      <t>".</t>
    </r>
  </si>
  <si>
    <t>v. 1.2.1</t>
  </si>
  <si>
    <r>
      <t>Лист "Розрахунок": ячейка Worksheets("Розрахунок").Range("D2") отримала ім'я - "</t>
    </r>
    <r>
      <rPr>
        <i/>
        <sz val="11"/>
        <color theme="1"/>
        <rFont val="72 Light"/>
        <family val="2"/>
        <charset val="204"/>
      </rPr>
      <t>order</t>
    </r>
    <r>
      <rPr>
        <sz val="11"/>
        <color theme="1"/>
        <rFont val="72 Light"/>
        <family val="2"/>
        <charset val="204"/>
      </rPr>
      <t>".</t>
    </r>
  </si>
  <si>
    <r>
      <t>Лист "Розрахунок": діапазон Worksheets("Розрахунок").Range("B11:B31") отримав ім'я - "</t>
    </r>
    <r>
      <rPr>
        <i/>
        <sz val="11"/>
        <color theme="1"/>
        <rFont val="72 Light"/>
        <charset val="204"/>
      </rPr>
      <t>P.I.B.</t>
    </r>
    <r>
      <rPr>
        <sz val="11"/>
        <color theme="1"/>
        <rFont val="72 Light"/>
        <family val="2"/>
        <charset val="204"/>
      </rPr>
      <t>".</t>
    </r>
  </si>
  <si>
    <r>
      <t>Лист "Розрахунок": діапазон Worksheets("Розрахунок").Range("E11:E31") отримав ім'я - "</t>
    </r>
    <r>
      <rPr>
        <i/>
        <sz val="11"/>
        <color theme="1"/>
        <rFont val="72 Light"/>
        <charset val="204"/>
      </rPr>
      <t>place</t>
    </r>
    <r>
      <rPr>
        <sz val="11"/>
        <color theme="1"/>
        <rFont val="72 Light"/>
        <family val="2"/>
        <charset val="204"/>
      </rPr>
      <t>".</t>
    </r>
  </si>
  <si>
    <r>
      <t>Лист "Розрахунок": діапазон Worksheets("Розрахунок").Range("J11:J31") отримав ім'я - "</t>
    </r>
    <r>
      <rPr>
        <i/>
        <sz val="11"/>
        <color theme="1"/>
        <rFont val="72 Light"/>
        <charset val="204"/>
      </rPr>
      <t>purpose</t>
    </r>
    <r>
      <rPr>
        <sz val="11"/>
        <color theme="1"/>
        <rFont val="72 Light"/>
        <family val="2"/>
        <charset val="204"/>
      </rPr>
      <t>".</t>
    </r>
  </si>
  <si>
    <r>
      <t>Лист "Розрахунок": діапазон Worksheets("Розрахунок").Range("K11:K31") отримав ім'я - "</t>
    </r>
    <r>
      <rPr>
        <i/>
        <sz val="11"/>
        <color theme="1"/>
        <rFont val="72 Light"/>
        <charset val="204"/>
      </rPr>
      <t>transport</t>
    </r>
    <r>
      <rPr>
        <sz val="11"/>
        <color theme="1"/>
        <rFont val="72 Light"/>
        <family val="2"/>
        <charset val="204"/>
      </rPr>
      <t>".</t>
    </r>
  </si>
  <si>
    <r>
      <t>Лист "Розрахунок": діапазон Worksheets("Розрахунок").Range("L11:L31") отримав ім'я - "</t>
    </r>
    <r>
      <rPr>
        <i/>
        <sz val="11"/>
        <color theme="1"/>
        <rFont val="72 Light"/>
        <charset val="204"/>
      </rPr>
      <t>garage</t>
    </r>
    <r>
      <rPr>
        <sz val="11"/>
        <color theme="1"/>
        <rFont val="72 Light"/>
        <family val="2"/>
        <charset val="204"/>
      </rPr>
      <t>".</t>
    </r>
  </si>
  <si>
    <r>
      <t>Лист "Розрахунок": ячейка Worksheets("Розрахунок").Range("D4") отримала ім'я - "</t>
    </r>
    <r>
      <rPr>
        <i/>
        <sz val="11"/>
        <color theme="1"/>
        <rFont val="72 Light"/>
        <charset val="204"/>
      </rPr>
      <t>dobovi</t>
    </r>
    <r>
      <rPr>
        <sz val="11"/>
        <color theme="1"/>
        <rFont val="72 Light"/>
        <family val="2"/>
        <charset val="204"/>
      </rPr>
      <t>".</t>
    </r>
  </si>
  <si>
    <r>
      <t>Лист "Розрахунок": ячейка Worksheets("Розрахунок").Range("D5") отримала ім'я - "</t>
    </r>
    <r>
      <rPr>
        <i/>
        <sz val="11"/>
        <color theme="1"/>
        <rFont val="72 Light"/>
        <charset val="204"/>
      </rPr>
      <t>projiv</t>
    </r>
    <r>
      <rPr>
        <sz val="11"/>
        <color theme="1"/>
        <rFont val="72 Light"/>
        <family val="2"/>
        <charset val="204"/>
      </rPr>
      <t>".</t>
    </r>
  </si>
  <si>
    <r>
      <t>Лист "Розрахунок": ячейка Worksheets("Розрахунок").Range("E7") отримала ім'я - "</t>
    </r>
    <r>
      <rPr>
        <i/>
        <sz val="11"/>
        <color theme="1"/>
        <rFont val="72 Light"/>
        <charset val="204"/>
      </rPr>
      <t>for_car</t>
    </r>
    <r>
      <rPr>
        <sz val="11"/>
        <color theme="1"/>
        <rFont val="72 Light"/>
        <family val="2"/>
        <charset val="204"/>
      </rPr>
      <t>".</t>
    </r>
  </si>
  <si>
    <r>
      <t>Лист "Розрахунок": ячейка Worksheets("Розрахунок").Range("E8") отримала ім'я - "</t>
    </r>
    <r>
      <rPr>
        <i/>
        <sz val="11"/>
        <color theme="1"/>
        <rFont val="72 Light"/>
        <charset val="204"/>
      </rPr>
      <t>other</t>
    </r>
    <r>
      <rPr>
        <sz val="11"/>
        <color theme="1"/>
        <rFont val="72 Light"/>
        <family val="2"/>
        <charset val="204"/>
      </rPr>
      <t>".</t>
    </r>
  </si>
  <si>
    <r>
      <t>Лист "Розрахунок": ячейка Worksheets("Розрахунок").Range("H4") отримала ім'я - "</t>
    </r>
    <r>
      <rPr>
        <i/>
        <sz val="11"/>
        <color theme="1"/>
        <rFont val="72 Light"/>
        <charset val="204"/>
      </rPr>
      <t>dob_days</t>
    </r>
    <r>
      <rPr>
        <sz val="11"/>
        <color theme="1"/>
        <rFont val="72 Light"/>
        <family val="2"/>
        <charset val="204"/>
      </rPr>
      <t>".</t>
    </r>
  </si>
  <si>
    <r>
      <t>Лист "Розрахунок": ячейка Worksheets("Розрахунок").Range("H5") отримала ім'я - "</t>
    </r>
    <r>
      <rPr>
        <i/>
        <sz val="11"/>
        <color theme="1"/>
        <rFont val="72 Light"/>
        <charset val="204"/>
      </rPr>
      <t>proj_days</t>
    </r>
    <r>
      <rPr>
        <sz val="11"/>
        <color theme="1"/>
        <rFont val="72 Light"/>
        <family val="2"/>
        <charset val="204"/>
      </rPr>
      <t>".</t>
    </r>
  </si>
  <si>
    <r>
      <t>Лист "Розрахунок": ячейка Worksheets("Розрахунок").Range("H6") отримала ім'я - "</t>
    </r>
    <r>
      <rPr>
        <i/>
        <sz val="11"/>
        <color theme="1"/>
        <rFont val="72 Light"/>
        <charset val="204"/>
      </rPr>
      <t>proiz_days</t>
    </r>
    <r>
      <rPr>
        <sz val="11"/>
        <color theme="1"/>
        <rFont val="72 Light"/>
        <family val="2"/>
        <charset val="204"/>
      </rPr>
      <t>".</t>
    </r>
  </si>
  <si>
    <r>
      <t>Лист "Розрахунок": ячейка Worksheets("Розрахунок").Range("D9") отримала ім'я - "</t>
    </r>
    <r>
      <rPr>
        <i/>
        <sz val="11"/>
        <color theme="1"/>
        <rFont val="72 Light"/>
        <charset val="204"/>
      </rPr>
      <t>total_sum</t>
    </r>
    <r>
      <rPr>
        <sz val="11"/>
        <color theme="1"/>
        <rFont val="72 Light"/>
        <family val="2"/>
        <charset val="204"/>
      </rPr>
      <t>".</t>
    </r>
  </si>
  <si>
    <r>
      <t>Лист "Розрахунок": діапазон Worksheets("Розрахунок").Range("O11:O31") отримав ім'я - "</t>
    </r>
    <r>
      <rPr>
        <i/>
        <sz val="11"/>
        <color theme="1"/>
        <rFont val="72 Light"/>
        <charset val="204"/>
      </rPr>
      <t>dobovi_plus</t>
    </r>
    <r>
      <rPr>
        <sz val="11"/>
        <color theme="1"/>
        <rFont val="72 Light"/>
        <family val="2"/>
        <charset val="204"/>
      </rPr>
      <t>".</t>
    </r>
  </si>
  <si>
    <r>
      <t>Лист "Розрахунок": діапазон Worksheets("Розрахунок").Range("P11:P31") отримав ім'я - "</t>
    </r>
    <r>
      <rPr>
        <i/>
        <sz val="11"/>
        <color theme="1"/>
        <rFont val="72 Light"/>
        <charset val="204"/>
      </rPr>
      <t>proj_plus</t>
    </r>
    <r>
      <rPr>
        <sz val="11"/>
        <color theme="1"/>
        <rFont val="72 Light"/>
        <family val="2"/>
        <charset val="204"/>
      </rPr>
      <t>".</t>
    </r>
  </si>
  <si>
    <r>
      <t>Лист "Розрахунок": діапазон Worksheets("Розрахунок").Range("Q11:Q31") отримав ім'я - "</t>
    </r>
    <r>
      <rPr>
        <i/>
        <sz val="11"/>
        <color theme="1"/>
        <rFont val="72 Light"/>
        <charset val="204"/>
      </rPr>
      <t>proiz_plus</t>
    </r>
    <r>
      <rPr>
        <sz val="11"/>
        <color theme="1"/>
        <rFont val="72 Light"/>
        <family val="2"/>
        <charset val="204"/>
      </rPr>
      <t>".</t>
    </r>
  </si>
  <si>
    <r>
      <t>Лист "Розрахунок": діапазон Worksheets("Розрахунок").Range("R11:R31") отримав ім'я - "</t>
    </r>
    <r>
      <rPr>
        <i/>
        <sz val="11"/>
        <color theme="1"/>
        <rFont val="72 Light"/>
        <charset val="204"/>
      </rPr>
      <t>other_plus</t>
    </r>
    <r>
      <rPr>
        <sz val="11"/>
        <color theme="1"/>
        <rFont val="72 Light"/>
        <charset val="204"/>
      </rPr>
      <t>".</t>
    </r>
  </si>
  <si>
    <r>
      <t xml:space="preserve">Макрос "MakeReport": додана перемінна </t>
    </r>
    <r>
      <rPr>
        <b/>
        <sz val="11"/>
        <color theme="1"/>
        <rFont val="72 Light"/>
        <charset val="204"/>
      </rPr>
      <t>separate_culc()</t>
    </r>
    <r>
      <rPr>
        <sz val="11"/>
        <color theme="1"/>
        <rFont val="72 Light"/>
        <family val="2"/>
        <charset val="204"/>
      </rPr>
      <t>, розширена та додана в цикл.</t>
    </r>
  </si>
  <si>
    <r>
      <t xml:space="preserve">Макрос "MakeReport": додано перемінні </t>
    </r>
    <r>
      <rPr>
        <b/>
        <sz val="11"/>
        <color theme="1"/>
        <rFont val="72 Light"/>
        <charset val="204"/>
      </rPr>
      <t>dobovi_plus(), proj_plus(), proiz_plus(), other_plus(), total_sum()</t>
    </r>
    <r>
      <rPr>
        <sz val="11"/>
        <color theme="1"/>
        <rFont val="72 Light"/>
        <charset val="204"/>
      </rPr>
      <t>. Їх розширено та додано в цикл.</t>
    </r>
  </si>
  <si>
    <r>
      <t xml:space="preserve">Макрос "MakeReport": створено перемінну </t>
    </r>
    <r>
      <rPr>
        <b/>
        <sz val="11"/>
        <color theme="1"/>
        <rFont val="72 Light"/>
        <charset val="204"/>
      </rPr>
      <t>count_sep_calc</t>
    </r>
    <r>
      <rPr>
        <sz val="11"/>
        <color theme="1"/>
        <rFont val="72 Light"/>
        <family val="2"/>
        <charset val="204"/>
      </rPr>
      <t xml:space="preserve"> і включено її в цикл підрахунку окерим підрахунків.</t>
    </r>
  </si>
  <si>
    <r>
      <t xml:space="preserve">Макрос "MakeReport": створено цикли для підрахунку </t>
    </r>
    <r>
      <rPr>
        <i/>
        <sz val="11"/>
        <color theme="1"/>
        <rFont val="72 Light"/>
        <charset val="204"/>
      </rPr>
      <t>dobovi_plus(), proj_plus(), proiz_plus(), other_plus(), total_sum().</t>
    </r>
  </si>
  <si>
    <r>
      <t>Макрос "ReportTemplate": розширено аргументи функції "</t>
    </r>
    <r>
      <rPr>
        <b/>
        <sz val="11"/>
        <color theme="1"/>
        <rFont val="72 Light"/>
        <charset val="204"/>
      </rPr>
      <t>Report</t>
    </r>
    <r>
      <rPr>
        <sz val="11"/>
        <color theme="1"/>
        <rFont val="72 Light"/>
        <family val="2"/>
        <charset val="204"/>
      </rPr>
      <t>", та розширено умови підрахунку витрат з урахуванням окремо підраханку для кожного працівника.</t>
    </r>
  </si>
  <si>
    <t>На автомобіль</t>
  </si>
  <si>
    <t>Всі діапазони і ячейкі, які використовуються у створені звітів отримали окремі імена і тепер застосовуються у коді та формулах, задля уникнення проблем при відкритті цього файлу на інших комп'ютерах.</t>
  </si>
  <si>
    <t>v. 1.2.2</t>
  </si>
  <si>
    <t>УАЗ 3909 державний номер КА 2478 ВМ</t>
  </si>
  <si>
    <t>Створено лист "Про програму".</t>
  </si>
  <si>
    <t>v. 1.2.3</t>
  </si>
  <si>
    <t>«Розрахунок витрат на відрядження.xlsm» версія 1.2.3.</t>
  </si>
  <si>
    <r>
      <t xml:space="preserve">Усі пропозиції, щодо цієї форми можна писати на пошту: </t>
    </r>
    <r>
      <rPr>
        <u/>
        <sz val="11"/>
        <color theme="1"/>
        <rFont val="Calibri Light"/>
        <family val="2"/>
        <scheme val="major"/>
      </rPr>
      <t>megazorch@gmail.com</t>
    </r>
    <r>
      <rPr>
        <sz val="11"/>
        <color theme="1"/>
        <rFont val="Calibri Light"/>
        <family val="2"/>
        <scheme val="major"/>
      </rPr>
      <t>.</t>
    </r>
  </si>
  <si>
    <r>
      <t xml:space="preserve">Данна форма була створена </t>
    </r>
    <r>
      <rPr>
        <i/>
        <sz val="11"/>
        <color theme="1"/>
        <rFont val="Calibri Light"/>
        <family val="2"/>
        <scheme val="major"/>
      </rPr>
      <t>Івахівом Романом</t>
    </r>
    <r>
      <rPr>
        <sz val="11"/>
        <color theme="1"/>
        <rFont val="Calibri Light"/>
        <family val="2"/>
        <scheme val="major"/>
      </rPr>
      <t xml:space="preserve"> для уникнення вірогідності помилки під час заповнення Додатку №4, Додатку №5, Додатку №10, а також для естетичного оформлення документів.</t>
    </r>
  </si>
  <si>
    <r>
      <t xml:space="preserve">Усі макроси були написані, також </t>
    </r>
    <r>
      <rPr>
        <i/>
        <sz val="11"/>
        <color theme="1"/>
        <rFont val="Calibri Light"/>
        <family val="2"/>
        <scheme val="major"/>
      </rPr>
      <t>Івахівом Романом</t>
    </r>
    <r>
      <rPr>
        <sz val="11"/>
        <color theme="1"/>
        <rFont val="Calibri Light"/>
        <family val="2"/>
        <scheme val="major"/>
      </rPr>
      <t xml:space="preserve"> і детальніше розписано їх принцип дії в інструкції, яка йде до цієї форми.</t>
    </r>
  </si>
  <si>
    <t>Дрібні виправлення.</t>
  </si>
  <si>
    <t>Геркула Микола Михайлович</t>
  </si>
  <si>
    <t>Водій автотранспортних засобів</t>
  </si>
  <si>
    <t>МАЗ 6317F5 державний номер АА 6786 ХК</t>
  </si>
  <si>
    <t>Макрос "ReportTemplate": змінено вирівнування текст з "по лівому краю" на "по ширині".</t>
  </si>
  <si>
    <t>v. 1.2.4</t>
  </si>
  <si>
    <t>516/вд</t>
  </si>
  <si>
    <t>04.11.2022</t>
  </si>
  <si>
    <t>07.11.2022</t>
  </si>
  <si>
    <t>11.11.2022</t>
  </si>
  <si>
    <t>№ 7105СЛ-22-3220 від 04.11.2022 року</t>
  </si>
  <si>
    <t>району смт. Тарутине, с. Вознесенка Друга, с. Малоярославець Другий, с. Підгірне Болградського району Одеської області ЛЧ МГ "АТІ", МГ "РІ", МГ "ШДКРІ"</t>
  </si>
  <si>
    <t>Керував роботами по технічному обслуговуванню лінійної частини магістральних газопроводів та запірної арматури.</t>
  </si>
  <si>
    <t>смт. Тарутине</t>
  </si>
  <si>
    <t>Макрос "ReportTemplate3": змінено вирівнування текст з "по лівому краю" на "по ширині".</t>
  </si>
  <si>
    <t>v. 1.2.5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</si>
</sst>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theme="1"/>
      <name val="Cambria"/>
      <family val="1"/>
      <charset val="204"/>
    </font>
    <font>
      <b/>
      <i/>
      <sz val="16"/>
      <color theme="1"/>
      <name val="Cambria"/>
      <family val="1"/>
      <charset val="204"/>
    </font>
    <font>
      <b/>
      <i/>
      <sz val="16"/>
      <color theme="1"/>
      <name val="Calibri"/>
      <family val="2"/>
      <charset val="204"/>
      <scheme val="minor"/>
    </font>
    <font>
      <sz val="12"/>
      <name val="Cambria"/>
      <family val="1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theme="1"/>
      <name val="72 Black"/>
      <family val="2"/>
      <charset val="204"/>
    </font>
    <font>
      <sz val="11"/>
      <color theme="1"/>
      <name val="72 Light"/>
      <family val="2"/>
      <charset val="204"/>
    </font>
    <font>
      <b/>
      <sz val="11"/>
      <color theme="1"/>
      <name val="72 Light"/>
      <family val="2"/>
      <charset val="204"/>
    </font>
    <font>
      <i/>
      <sz val="11"/>
      <color theme="1"/>
      <name val="72 Light"/>
      <family val="2"/>
      <charset val="204"/>
    </font>
    <font>
      <sz val="11"/>
      <color theme="1"/>
      <name val="Calibri Light"/>
      <family val="2"/>
      <charset val="204"/>
    </font>
    <font>
      <i/>
      <sz val="9"/>
      <color theme="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name val="Times New Roman"/>
      <family val="1"/>
      <charset val="204"/>
    </font>
    <font>
      <i/>
      <sz val="12"/>
      <color theme="1"/>
      <name val="Cambria"/>
      <family val="1"/>
      <charset val="204"/>
    </font>
    <font>
      <sz val="12"/>
      <color theme="1"/>
      <name val="Calibri Light"/>
      <family val="2"/>
      <charset val="204"/>
      <scheme val="major"/>
    </font>
    <font>
      <b/>
      <sz val="12"/>
      <color theme="1"/>
      <name val="Cambria"/>
      <family val="1"/>
      <charset val="204"/>
    </font>
    <font>
      <sz val="8"/>
      <color theme="1"/>
      <name val="Times New Roman"/>
      <family val="1"/>
      <charset val="204"/>
    </font>
    <font>
      <sz val="10"/>
      <color theme="1"/>
      <name val="Cambria"/>
      <family val="1"/>
      <charset val="204"/>
    </font>
    <font>
      <sz val="8"/>
      <color theme="1"/>
      <name val="Cambria"/>
      <family val="1"/>
      <charset val="204"/>
    </font>
    <font>
      <sz val="11"/>
      <color theme="0" tint="-0.249977111117893"/>
      <name val="Times New Roman"/>
      <family val="1"/>
      <charset val="204"/>
    </font>
    <font>
      <u/>
      <sz val="11"/>
      <color theme="1"/>
      <name val="72 Light"/>
      <family val="2"/>
      <charset val="204"/>
    </font>
    <font>
      <sz val="10"/>
      <color theme="1"/>
      <name val="72 Light"/>
      <family val="2"/>
      <charset val="204"/>
    </font>
    <font>
      <b/>
      <sz val="10"/>
      <color theme="1"/>
      <name val="72 Light"/>
      <family val="2"/>
      <charset val="204"/>
    </font>
    <font>
      <i/>
      <sz val="11"/>
      <color theme="1"/>
      <name val="72 Light"/>
      <charset val="204"/>
    </font>
    <font>
      <sz val="11"/>
      <color theme="1"/>
      <name val="72 Light"/>
      <charset val="204"/>
    </font>
    <font>
      <b/>
      <sz val="11"/>
      <color theme="1"/>
      <name val="72 Light"/>
      <charset val="204"/>
    </font>
    <font>
      <sz val="11"/>
      <color theme="1"/>
      <name val="Calibri Light"/>
      <family val="2"/>
      <scheme val="maj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 Light"/>
      <family val="2"/>
      <scheme val="major"/>
    </font>
    <font>
      <i/>
      <sz val="11"/>
      <color theme="1"/>
      <name val="Calibri Light"/>
      <family val="2"/>
      <scheme val="major"/>
    </font>
    <font>
      <sz val="11"/>
      <color rgb="FF000000"/>
      <name val="Calibri"/>
      <family val="2"/>
      <charset val="204"/>
    </font>
    <font>
      <i/>
      <sz val="11"/>
      <color rgb="FF000080"/>
      <name val="Calibri Light"/>
      <family val="2"/>
      <charset val="204"/>
    </font>
    <font>
      <i/>
      <sz val="11"/>
      <color rgb="FFFF0000"/>
      <name val="Calibri Light"/>
      <family val="2"/>
      <charset val="204"/>
    </font>
    <font>
      <i/>
      <sz val="11"/>
      <color rgb="FF339966"/>
      <name val="Calibri Light"/>
      <family val="2"/>
      <charset val="204"/>
    </font>
  </fonts>
  <fills count="14">
    <fill>
      <patternFill patternType="none"/>
    </fill>
    <fill>
      <patternFill patternType="gray125"/>
    </fill>
    <fill>
      <patternFill patternType="lightGray">
        <bgColor theme="0" tint="-0.14996795556505021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auto="1"/>
      </patternFill>
    </fill>
    <fill>
      <patternFill patternType="solid">
        <fgColor rgb="FFCCFF3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lightGray">
        <bgColor theme="0" tint="-0.14999847407452621"/>
      </patternFill>
    </fill>
    <fill>
      <patternFill patternType="solid">
        <fgColor theme="0" tint="-0.14996795556505021"/>
        <bgColor indexed="64"/>
      </patternFill>
    </fill>
    <fill>
      <patternFill patternType="lightGray">
        <bgColor theme="2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9" fillId="0" borderId="0"/>
  </cellStyleXfs>
  <cellXfs count="193">
    <xf numFmtId="0" fontId="0" fillId="0" borderId="0" xfId="0"/>
    <xf numFmtId="0" fontId="1" fillId="0" borderId="2" xfId="0" applyFont="1" applyBorder="1" applyAlignment="1">
      <alignment horizontal="left" vertical="center" wrapText="1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center"/>
    </xf>
    <xf numFmtId="0" fontId="5" fillId="2" borderId="0" xfId="0" applyFont="1" applyFill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 applyProtection="1">
      <alignment horizontal="center" vertical="center" wrapText="1"/>
      <protection locked="0"/>
    </xf>
    <xf numFmtId="1" fontId="5" fillId="4" borderId="11" xfId="0" applyNumberFormat="1" applyFont="1" applyFill="1" applyBorder="1" applyAlignment="1" applyProtection="1">
      <alignment horizontal="center" vertical="center"/>
      <protection locked="0"/>
    </xf>
    <xf numFmtId="1" fontId="5" fillId="4" borderId="20" xfId="0" applyNumberFormat="1" applyFont="1" applyFill="1" applyBorder="1" applyAlignment="1" applyProtection="1">
      <alignment horizontal="center" vertical="center"/>
      <protection locked="0"/>
    </xf>
    <xf numFmtId="1" fontId="5" fillId="4" borderId="14" xfId="0" applyNumberFormat="1" applyFont="1" applyFill="1" applyBorder="1" applyAlignment="1" applyProtection="1">
      <alignment horizontal="center" vertical="center"/>
      <protection locked="0"/>
    </xf>
    <xf numFmtId="2" fontId="5" fillId="4" borderId="11" xfId="0" applyNumberFormat="1" applyFont="1" applyFill="1" applyBorder="1" applyAlignment="1" applyProtection="1">
      <alignment horizontal="center" vertical="center"/>
      <protection locked="0"/>
    </xf>
    <xf numFmtId="2" fontId="5" fillId="4" borderId="14" xfId="0" applyNumberFormat="1" applyFont="1" applyFill="1" applyBorder="1" applyAlignment="1" applyProtection="1">
      <alignment horizontal="center" vertical="center"/>
      <protection locked="0"/>
    </xf>
    <xf numFmtId="0" fontId="5" fillId="4" borderId="2" xfId="0" applyFont="1" applyFill="1" applyBorder="1" applyAlignment="1" applyProtection="1">
      <alignment horizontal="center" vertical="center" wrapText="1"/>
      <protection locked="0"/>
    </xf>
    <xf numFmtId="49" fontId="5" fillId="4" borderId="11" xfId="0" applyNumberFormat="1" applyFont="1" applyFill="1" applyBorder="1" applyAlignment="1" applyProtection="1">
      <alignment horizontal="center" vertical="center"/>
      <protection locked="0"/>
    </xf>
    <xf numFmtId="49" fontId="5" fillId="4" borderId="14" xfId="0" applyNumberFormat="1" applyFont="1" applyFill="1" applyBorder="1" applyAlignment="1" applyProtection="1">
      <alignment horizontal="center" vertical="center"/>
      <protection locked="0"/>
    </xf>
    <xf numFmtId="0" fontId="10" fillId="4" borderId="2" xfId="0" applyFont="1" applyFill="1" applyBorder="1" applyAlignment="1" applyProtection="1">
      <alignment horizontal="left" vertical="center" wrapText="1"/>
      <protection locked="0"/>
    </xf>
    <xf numFmtId="0" fontId="8" fillId="4" borderId="2" xfId="0" applyFont="1" applyFill="1" applyBorder="1" applyAlignment="1" applyProtection="1">
      <alignment horizontal="left" vertical="center" wrapText="1"/>
      <protection locked="0"/>
    </xf>
    <xf numFmtId="0" fontId="11" fillId="8" borderId="0" xfId="0" applyFont="1" applyFill="1"/>
    <xf numFmtId="0" fontId="12" fillId="8" borderId="0" xfId="0" applyFont="1" applyFill="1"/>
    <xf numFmtId="0" fontId="12" fillId="8" borderId="2" xfId="0" applyFont="1" applyFill="1" applyBorder="1" applyAlignment="1">
      <alignment horizontal="center" vertical="center" wrapText="1"/>
    </xf>
    <xf numFmtId="14" fontId="12" fillId="8" borderId="2" xfId="0" applyNumberFormat="1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 wrapText="1"/>
    </xf>
    <xf numFmtId="0" fontId="12" fillId="8" borderId="2" xfId="0" applyFont="1" applyFill="1" applyBorder="1" applyAlignment="1">
      <alignment horizontal="left" vertical="center" wrapText="1"/>
    </xf>
    <xf numFmtId="16" fontId="12" fillId="8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5" fillId="4" borderId="2" xfId="0" applyFont="1" applyFill="1" applyBorder="1" applyAlignment="1" applyProtection="1">
      <alignment horizontal="center" vertical="center" wrapText="1"/>
      <protection locked="0"/>
    </xf>
    <xf numFmtId="0" fontId="5" fillId="9" borderId="2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 wrapText="1"/>
      <protection locked="0"/>
    </xf>
    <xf numFmtId="0" fontId="1" fillId="4" borderId="1" xfId="0" applyFont="1" applyFill="1" applyBorder="1" applyAlignment="1" applyProtection="1">
      <alignment horizontal="left" vertical="center" wrapText="1"/>
      <protection locked="0"/>
    </xf>
    <xf numFmtId="0" fontId="1" fillId="4" borderId="7" xfId="0" applyFont="1" applyFill="1" applyBorder="1" applyAlignment="1" applyProtection="1">
      <alignment horizontal="left" vertical="center" wrapText="1"/>
      <protection locked="0"/>
    </xf>
    <xf numFmtId="0" fontId="0" fillId="11" borderId="0" xfId="0" applyFill="1" applyProtection="1"/>
    <xf numFmtId="0" fontId="3" fillId="11" borderId="0" xfId="0" applyFont="1" applyFill="1" applyProtection="1"/>
    <xf numFmtId="0" fontId="0" fillId="11" borderId="0" xfId="0" applyFill="1"/>
    <xf numFmtId="0" fontId="0" fillId="11" borderId="0" xfId="0" applyFill="1" applyProtection="1">
      <protection locked="0"/>
    </xf>
    <xf numFmtId="0" fontId="4" fillId="12" borderId="2" xfId="0" quotePrefix="1" applyFont="1" applyFill="1" applyBorder="1" applyAlignment="1">
      <alignment horizontal="center" vertical="center"/>
    </xf>
    <xf numFmtId="0" fontId="4" fillId="12" borderId="2" xfId="0" applyFont="1" applyFill="1" applyBorder="1" applyAlignment="1">
      <alignment horizontal="left" vertical="center"/>
    </xf>
    <xf numFmtId="0" fontId="4" fillId="12" borderId="2" xfId="0" applyFont="1" applyFill="1" applyBorder="1" applyAlignment="1">
      <alignment vertical="center"/>
    </xf>
    <xf numFmtId="0" fontId="5" fillId="4" borderId="2" xfId="0" applyFont="1" applyFill="1" applyBorder="1" applyAlignment="1" applyProtection="1">
      <alignment horizontal="center" vertical="center" wrapText="1"/>
      <protection locked="0"/>
    </xf>
    <xf numFmtId="0" fontId="1" fillId="4" borderId="2" xfId="0" applyFont="1" applyFill="1" applyBorder="1" applyAlignment="1" applyProtection="1">
      <alignment horizontal="center" vertical="center" wrapText="1"/>
      <protection locked="0"/>
    </xf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4" borderId="7" xfId="0" applyFont="1" applyFill="1" applyBorder="1" applyAlignment="1" applyProtection="1">
      <alignment horizontal="center" vertical="center" wrapText="1"/>
      <protection locked="0"/>
    </xf>
    <xf numFmtId="0" fontId="0" fillId="11" borderId="0" xfId="0" applyFill="1" applyAlignment="1" applyProtection="1">
      <alignment horizontal="center" vertical="center"/>
      <protection locked="0"/>
    </xf>
    <xf numFmtId="0" fontId="1" fillId="4" borderId="4" xfId="0" applyFont="1" applyFill="1" applyBorder="1" applyAlignment="1" applyProtection="1">
      <alignment vertical="center"/>
      <protection locked="0"/>
    </xf>
    <xf numFmtId="0" fontId="1" fillId="4" borderId="4" xfId="0" applyFont="1" applyFill="1" applyBorder="1" applyAlignment="1" applyProtection="1">
      <alignment horizontal="left" vertical="center"/>
      <protection locked="0"/>
    </xf>
    <xf numFmtId="0" fontId="0" fillId="4" borderId="4" xfId="0" applyFill="1" applyBorder="1" applyProtection="1">
      <protection locked="0"/>
    </xf>
    <xf numFmtId="0" fontId="2" fillId="10" borderId="8" xfId="0" applyFont="1" applyFill="1" applyBorder="1" applyAlignment="1" applyProtection="1">
      <alignment horizontal="center"/>
    </xf>
    <xf numFmtId="0" fontId="2" fillId="10" borderId="8" xfId="0" applyFont="1" applyFill="1" applyBorder="1" applyAlignment="1" applyProtection="1">
      <alignment horizontal="center" vertical="center"/>
    </xf>
    <xf numFmtId="0" fontId="2" fillId="10" borderId="28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left" vertical="center" wrapText="1"/>
      <protection locked="0"/>
    </xf>
    <xf numFmtId="0" fontId="1" fillId="4" borderId="3" xfId="0" applyFont="1" applyFill="1" applyBorder="1" applyAlignment="1" applyProtection="1">
      <alignment horizontal="center" vertical="center" wrapText="1"/>
      <protection locked="0"/>
    </xf>
    <xf numFmtId="0" fontId="10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horizontal="center" vertical="center"/>
    </xf>
    <xf numFmtId="0" fontId="10" fillId="0" borderId="0" xfId="1" applyFont="1"/>
    <xf numFmtId="2" fontId="10" fillId="0" borderId="2" xfId="1" applyNumberFormat="1" applyFont="1" applyBorder="1" applyAlignment="1">
      <alignment horizontal="center" vertical="center"/>
    </xf>
    <xf numFmtId="0" fontId="10" fillId="0" borderId="2" xfId="1" applyFont="1" applyBorder="1"/>
    <xf numFmtId="0" fontId="10" fillId="0" borderId="0" xfId="1" applyFont="1" applyAlignment="1">
      <alignment horizontal="center" vertical="center"/>
    </xf>
    <xf numFmtId="0" fontId="19" fillId="2" borderId="0" xfId="0" applyFont="1" applyFill="1" applyAlignment="1">
      <alignment vertical="center"/>
    </xf>
    <xf numFmtId="0" fontId="19" fillId="2" borderId="0" xfId="0" applyFont="1" applyFill="1"/>
    <xf numFmtId="0" fontId="1" fillId="8" borderId="30" xfId="0" applyFont="1" applyFill="1" applyBorder="1" applyAlignment="1">
      <alignment vertical="center"/>
    </xf>
    <xf numFmtId="0" fontId="1" fillId="8" borderId="31" xfId="0" applyFont="1" applyFill="1" applyBorder="1" applyAlignment="1">
      <alignment horizontal="centerContinuous" vertical="center"/>
    </xf>
    <xf numFmtId="0" fontId="1" fillId="8" borderId="5" xfId="0" applyFont="1" applyFill="1" applyBorder="1" applyAlignment="1">
      <alignment horizontal="centerContinuous" vertical="center"/>
    </xf>
    <xf numFmtId="0" fontId="1" fillId="8" borderId="6" xfId="0" applyFont="1" applyFill="1" applyBorder="1" applyAlignment="1">
      <alignment horizontal="centerContinuous" vertical="center"/>
    </xf>
    <xf numFmtId="0" fontId="1" fillId="8" borderId="2" xfId="0" applyFont="1" applyFill="1" applyBorder="1" applyAlignment="1">
      <alignment vertical="center"/>
    </xf>
    <xf numFmtId="0" fontId="1" fillId="8" borderId="6" xfId="0" applyFont="1" applyFill="1" applyBorder="1" applyAlignment="1">
      <alignment vertical="center"/>
    </xf>
    <xf numFmtId="0" fontId="22" fillId="8" borderId="4" xfId="0" applyFont="1" applyFill="1" applyBorder="1" applyAlignment="1">
      <alignment horizontal="centerContinuous" vertical="center"/>
    </xf>
    <xf numFmtId="0" fontId="22" fillId="8" borderId="29" xfId="0" applyFont="1" applyFill="1" applyBorder="1" applyAlignment="1">
      <alignment horizontal="centerContinuous" vertical="center"/>
    </xf>
    <xf numFmtId="0" fontId="22" fillId="8" borderId="28" xfId="0" applyFont="1" applyFill="1" applyBorder="1" applyAlignment="1">
      <alignment horizontal="centerContinuous" vertical="center"/>
    </xf>
    <xf numFmtId="0" fontId="22" fillId="8" borderId="31" xfId="0" applyFont="1" applyFill="1" applyBorder="1" applyAlignment="1">
      <alignment horizontal="centerContinuous" vertical="center"/>
    </xf>
    <xf numFmtId="0" fontId="22" fillId="8" borderId="32" xfId="0" applyFont="1" applyFill="1" applyBorder="1" applyAlignment="1">
      <alignment horizontal="centerContinuous" vertical="center"/>
    </xf>
    <xf numFmtId="0" fontId="20" fillId="8" borderId="4" xfId="0" applyFont="1" applyFill="1" applyBorder="1" applyAlignment="1">
      <alignment horizontal="left" vertical="center"/>
    </xf>
    <xf numFmtId="0" fontId="20" fillId="8" borderId="5" xfId="0" applyFont="1" applyFill="1" applyBorder="1" applyAlignment="1">
      <alignment horizontal="left" vertical="center"/>
    </xf>
    <xf numFmtId="0" fontId="20" fillId="8" borderId="27" xfId="0" applyFont="1" applyFill="1" applyBorder="1" applyAlignment="1">
      <alignment horizontal="left" vertical="center"/>
    </xf>
    <xf numFmtId="0" fontId="20" fillId="8" borderId="29" xfId="0" applyFont="1" applyFill="1" applyBorder="1" applyAlignment="1">
      <alignment horizontal="left" vertical="center"/>
    </xf>
    <xf numFmtId="0" fontId="1" fillId="8" borderId="8" xfId="0" applyFont="1" applyFill="1" applyBorder="1" applyAlignment="1">
      <alignment vertical="center"/>
    </xf>
    <xf numFmtId="0" fontId="22" fillId="8" borderId="27" xfId="0" applyFont="1" applyFill="1" applyBorder="1" applyAlignment="1">
      <alignment horizontal="centerContinuous" vertical="center"/>
    </xf>
    <xf numFmtId="0" fontId="22" fillId="8" borderId="30" xfId="0" applyFont="1" applyFill="1" applyBorder="1" applyAlignment="1">
      <alignment horizontal="centerContinuous" vertical="center"/>
    </xf>
    <xf numFmtId="0" fontId="1" fillId="13" borderId="0" xfId="0" applyFont="1" applyFill="1" applyAlignment="1">
      <alignment vertical="center"/>
    </xf>
    <xf numFmtId="0" fontId="20" fillId="8" borderId="4" xfId="0" applyFont="1" applyFill="1" applyBorder="1" applyAlignment="1">
      <alignment horizontal="centerContinuous" vertical="center"/>
    </xf>
    <xf numFmtId="0" fontId="20" fillId="8" borderId="5" xfId="0" applyFont="1" applyFill="1" applyBorder="1" applyAlignment="1">
      <alignment horizontal="centerContinuous" vertical="center"/>
    </xf>
    <xf numFmtId="0" fontId="20" fillId="8" borderId="6" xfId="0" applyFont="1" applyFill="1" applyBorder="1" applyAlignment="1">
      <alignment horizontal="centerContinuous" vertical="center"/>
    </xf>
    <xf numFmtId="0" fontId="20" fillId="8" borderId="29" xfId="0" applyFont="1" applyFill="1" applyBorder="1" applyAlignment="1">
      <alignment horizontal="centerContinuous" vertical="center"/>
    </xf>
    <xf numFmtId="0" fontId="20" fillId="8" borderId="27" xfId="0" applyFont="1" applyFill="1" applyBorder="1" applyAlignment="1">
      <alignment horizontal="centerContinuous" vertical="center"/>
    </xf>
    <xf numFmtId="0" fontId="20" fillId="8" borderId="30" xfId="0" applyFont="1" applyFill="1" applyBorder="1" applyAlignment="1">
      <alignment horizontal="centerContinuous" vertical="center"/>
    </xf>
    <xf numFmtId="0" fontId="7" fillId="4" borderId="27" xfId="0" applyFont="1" applyFill="1" applyBorder="1" applyAlignment="1" applyProtection="1">
      <alignment vertical="center"/>
      <protection hidden="1"/>
    </xf>
    <xf numFmtId="0" fontId="24" fillId="4" borderId="29" xfId="0" applyFont="1" applyFill="1" applyBorder="1" applyAlignment="1" applyProtection="1">
      <alignment vertical="center"/>
      <protection hidden="1"/>
    </xf>
    <xf numFmtId="0" fontId="24" fillId="4" borderId="30" xfId="0" applyFont="1" applyFill="1" applyBorder="1" applyAlignment="1" applyProtection="1">
      <alignment vertical="center"/>
      <protection hidden="1"/>
    </xf>
    <xf numFmtId="0" fontId="7" fillId="4" borderId="33" xfId="0" applyFont="1" applyFill="1" applyBorder="1" applyAlignment="1" applyProtection="1">
      <protection hidden="1"/>
    </xf>
    <xf numFmtId="0" fontId="24" fillId="4" borderId="0" xfId="0" applyFont="1" applyFill="1" applyBorder="1" applyAlignment="1" applyProtection="1">
      <alignment vertical="center"/>
      <protection hidden="1"/>
    </xf>
    <xf numFmtId="0" fontId="23" fillId="4" borderId="28" xfId="0" applyFont="1" applyFill="1" applyBorder="1" applyAlignment="1" applyProtection="1">
      <alignment horizontal="centerContinuous" vertical="top"/>
      <protection hidden="1"/>
    </xf>
    <xf numFmtId="0" fontId="24" fillId="4" borderId="31" xfId="0" applyFont="1" applyFill="1" applyBorder="1" applyAlignment="1" applyProtection="1">
      <alignment horizontal="centerContinuous" vertical="top"/>
      <protection hidden="1"/>
    </xf>
    <xf numFmtId="0" fontId="24" fillId="4" borderId="31" xfId="0" applyFont="1" applyFill="1" applyBorder="1" applyAlignment="1" applyProtection="1">
      <alignment vertical="center"/>
      <protection hidden="1"/>
    </xf>
    <xf numFmtId="0" fontId="25" fillId="4" borderId="31" xfId="0" applyFont="1" applyFill="1" applyBorder="1" applyAlignment="1" applyProtection="1">
      <alignment horizontal="centerContinuous" vertical="top"/>
      <protection hidden="1"/>
    </xf>
    <xf numFmtId="0" fontId="25" fillId="4" borderId="32" xfId="0" applyFont="1" applyFill="1" applyBorder="1" applyAlignment="1" applyProtection="1">
      <alignment horizontal="centerContinuous" vertical="top"/>
      <protection hidden="1"/>
    </xf>
    <xf numFmtId="0" fontId="24" fillId="4" borderId="33" xfId="0" applyFont="1" applyFill="1" applyBorder="1" applyAlignment="1" applyProtection="1">
      <alignment vertical="center"/>
      <protection hidden="1"/>
    </xf>
    <xf numFmtId="0" fontId="24" fillId="4" borderId="34" xfId="0" applyFont="1" applyFill="1" applyBorder="1" applyAlignment="1" applyProtection="1">
      <alignment vertical="center"/>
      <protection hidden="1"/>
    </xf>
    <xf numFmtId="0" fontId="7" fillId="4" borderId="28" xfId="0" applyFont="1" applyFill="1" applyBorder="1" applyAlignment="1" applyProtection="1">
      <alignment vertical="center"/>
      <protection hidden="1"/>
    </xf>
    <xf numFmtId="0" fontId="24" fillId="4" borderId="31" xfId="0" applyFont="1" applyFill="1" applyBorder="1" applyAlignment="1" applyProtection="1">
      <alignment vertical="top"/>
      <protection hidden="1"/>
    </xf>
    <xf numFmtId="0" fontId="1" fillId="4" borderId="27" xfId="0" applyFont="1" applyFill="1" applyBorder="1" applyAlignment="1" applyProtection="1">
      <alignment vertical="center"/>
      <protection hidden="1"/>
    </xf>
    <xf numFmtId="0" fontId="1" fillId="4" borderId="29" xfId="0" applyFont="1" applyFill="1" applyBorder="1" applyAlignment="1" applyProtection="1">
      <alignment vertical="center"/>
      <protection hidden="1"/>
    </xf>
    <xf numFmtId="0" fontId="1" fillId="4" borderId="30" xfId="0" applyFont="1" applyFill="1" applyBorder="1" applyAlignment="1" applyProtection="1">
      <alignment vertical="center"/>
      <protection hidden="1"/>
    </xf>
    <xf numFmtId="0" fontId="10" fillId="4" borderId="28" xfId="0" applyFont="1" applyFill="1" applyBorder="1" applyProtection="1">
      <protection hidden="1"/>
    </xf>
    <xf numFmtId="0" fontId="10" fillId="4" borderId="31" xfId="0" applyFont="1" applyFill="1" applyBorder="1" applyProtection="1">
      <protection hidden="1"/>
    </xf>
    <xf numFmtId="0" fontId="10" fillId="4" borderId="0" xfId="0" applyFont="1" applyFill="1" applyBorder="1" applyProtection="1">
      <protection hidden="1"/>
    </xf>
    <xf numFmtId="0" fontId="10" fillId="4" borderId="31" xfId="0" applyFont="1" applyFill="1" applyBorder="1" applyAlignment="1" applyProtection="1">
      <alignment horizontal="centerContinuous"/>
      <protection hidden="1"/>
    </xf>
    <xf numFmtId="0" fontId="10" fillId="4" borderId="32" xfId="0" applyFont="1" applyFill="1" applyBorder="1" applyAlignment="1" applyProtection="1">
      <alignment horizontal="centerContinuous"/>
      <protection hidden="1"/>
    </xf>
    <xf numFmtId="0" fontId="23" fillId="4" borderId="4" xfId="0" applyFont="1" applyFill="1" applyBorder="1" applyAlignment="1" applyProtection="1">
      <alignment horizontal="centerContinuous" vertical="top"/>
      <protection hidden="1"/>
    </xf>
    <xf numFmtId="0" fontId="0" fillId="4" borderId="5" xfId="0" applyFill="1" applyBorder="1" applyAlignment="1" applyProtection="1">
      <alignment horizontal="centerContinuous"/>
      <protection hidden="1"/>
    </xf>
    <xf numFmtId="0" fontId="0" fillId="4" borderId="31" xfId="0" applyFill="1" applyBorder="1" applyAlignment="1" applyProtection="1">
      <protection hidden="1"/>
    </xf>
    <xf numFmtId="0" fontId="23" fillId="4" borderId="5" xfId="0" applyFont="1" applyFill="1" applyBorder="1" applyAlignment="1" applyProtection="1">
      <alignment horizontal="centerContinuous" vertical="top"/>
      <protection hidden="1"/>
    </xf>
    <xf numFmtId="0" fontId="0" fillId="4" borderId="6" xfId="0" applyFill="1" applyBorder="1" applyAlignment="1" applyProtection="1">
      <alignment horizontal="centerContinuous"/>
      <protection hidden="1"/>
    </xf>
    <xf numFmtId="164" fontId="1" fillId="4" borderId="2" xfId="0" applyNumberFormat="1" applyFont="1" applyFill="1" applyBorder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2" fontId="26" fillId="2" borderId="0" xfId="0" applyNumberFormat="1" applyFont="1" applyFill="1" applyAlignment="1">
      <alignment horizontal="center" vertical="center"/>
    </xf>
    <xf numFmtId="0" fontId="10" fillId="0" borderId="2" xfId="1" applyFont="1" applyBorder="1" applyAlignment="1">
      <alignment vertical="center"/>
    </xf>
    <xf numFmtId="0" fontId="28" fillId="8" borderId="2" xfId="0" applyFont="1" applyFill="1" applyBorder="1" applyAlignment="1">
      <alignment horizontal="left" vertical="center" wrapText="1"/>
    </xf>
    <xf numFmtId="164" fontId="26" fillId="2" borderId="0" xfId="0" applyNumberFormat="1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33" fillId="9" borderId="0" xfId="0" applyFont="1" applyFill="1" applyBorder="1" applyAlignment="1">
      <alignment vertical="center"/>
    </xf>
    <xf numFmtId="0" fontId="0" fillId="9" borderId="27" xfId="0" applyFill="1" applyBorder="1" applyAlignment="1">
      <alignment vertical="center"/>
    </xf>
    <xf numFmtId="0" fontId="0" fillId="9" borderId="29" xfId="0" applyFill="1" applyBorder="1" applyAlignment="1">
      <alignment vertical="center"/>
    </xf>
    <xf numFmtId="0" fontId="0" fillId="9" borderId="30" xfId="0" applyFill="1" applyBorder="1" applyAlignment="1">
      <alignment vertical="center"/>
    </xf>
    <xf numFmtId="0" fontId="0" fillId="9" borderId="0" xfId="0" applyFill="1" applyAlignment="1">
      <alignment vertical="center"/>
    </xf>
    <xf numFmtId="0" fontId="0" fillId="9" borderId="33" xfId="0" applyFill="1" applyBorder="1" applyAlignment="1">
      <alignment vertical="center"/>
    </xf>
    <xf numFmtId="0" fontId="0" fillId="9" borderId="34" xfId="0" applyFill="1" applyBorder="1" applyAlignment="1">
      <alignment vertical="center"/>
    </xf>
    <xf numFmtId="0" fontId="0" fillId="9" borderId="28" xfId="0" applyFill="1" applyBorder="1" applyAlignment="1">
      <alignment vertical="center"/>
    </xf>
    <xf numFmtId="0" fontId="0" fillId="9" borderId="31" xfId="0" applyFill="1" applyBorder="1" applyAlignment="1">
      <alignment vertical="center"/>
    </xf>
    <xf numFmtId="0" fontId="0" fillId="9" borderId="32" xfId="0" applyFill="1" applyBorder="1" applyAlignment="1">
      <alignment vertical="center"/>
    </xf>
    <xf numFmtId="0" fontId="5" fillId="4" borderId="2" xfId="0" applyFont="1" applyFill="1" applyBorder="1" applyAlignment="1" applyProtection="1">
      <alignment horizontal="center" vertical="center" wrapText="1"/>
      <protection locked="0"/>
    </xf>
    <xf numFmtId="0" fontId="10" fillId="4" borderId="2" xfId="0" applyFont="1" applyFill="1" applyBorder="1" applyAlignment="1" applyProtection="1">
      <alignment horizontal="left" vertical="center" wrapText="1"/>
      <protection locked="0"/>
    </xf>
    <xf numFmtId="0" fontId="5" fillId="3" borderId="12" xfId="0" applyFont="1" applyFill="1" applyBorder="1" applyAlignment="1">
      <alignment horizontal="center" vertical="center" wrapText="1"/>
    </xf>
    <xf numFmtId="0" fontId="5" fillId="3" borderId="13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6" fillId="3" borderId="25" xfId="0" applyFont="1" applyFill="1" applyBorder="1" applyAlignment="1">
      <alignment horizontal="center" vertical="center" wrapText="1"/>
    </xf>
    <xf numFmtId="2" fontId="5" fillId="6" borderId="25" xfId="0" applyNumberFormat="1" applyFont="1" applyFill="1" applyBorder="1" applyAlignment="1">
      <alignment horizontal="center" vertical="center" wrapText="1"/>
    </xf>
    <xf numFmtId="2" fontId="5" fillId="6" borderId="26" xfId="0" applyNumberFormat="1" applyFont="1" applyFill="1" applyBorder="1" applyAlignment="1">
      <alignment horizontal="center" vertical="center" wrapText="1"/>
    </xf>
    <xf numFmtId="0" fontId="5" fillId="4" borderId="2" xfId="0" applyFont="1" applyFill="1" applyBorder="1" applyAlignment="1" applyProtection="1">
      <alignment horizontal="center" vertical="center" wrapText="1"/>
      <protection locked="0"/>
    </xf>
    <xf numFmtId="0" fontId="5" fillId="4" borderId="4" xfId="0" applyFont="1" applyFill="1" applyBorder="1" applyAlignment="1" applyProtection="1">
      <alignment horizontal="center" vertical="center" wrapText="1"/>
      <protection locked="0"/>
    </xf>
    <xf numFmtId="0" fontId="5" fillId="4" borderId="5" xfId="0" applyFont="1" applyFill="1" applyBorder="1" applyAlignment="1" applyProtection="1">
      <alignment horizontal="center" vertical="center" wrapText="1"/>
      <protection locked="0"/>
    </xf>
    <xf numFmtId="0" fontId="5" fillId="4" borderId="6" xfId="0" applyFont="1" applyFill="1" applyBorder="1" applyAlignment="1" applyProtection="1">
      <alignment horizontal="center" vertical="center" wrapText="1"/>
      <protection locked="0"/>
    </xf>
    <xf numFmtId="0" fontId="5" fillId="4" borderId="2" xfId="0" applyFont="1" applyFill="1" applyBorder="1" applyAlignment="1" applyProtection="1">
      <alignment horizontal="left" vertical="center"/>
      <protection locked="0"/>
    </xf>
    <xf numFmtId="0" fontId="10" fillId="4" borderId="2" xfId="0" applyFont="1" applyFill="1" applyBorder="1" applyAlignment="1" applyProtection="1">
      <alignment horizontal="left" vertical="center" wrapText="1"/>
      <protection locked="0"/>
    </xf>
    <xf numFmtId="2" fontId="5" fillId="5" borderId="10" xfId="0" applyNumberFormat="1" applyFont="1" applyFill="1" applyBorder="1" applyAlignment="1" applyProtection="1">
      <alignment horizontal="center" vertical="center"/>
      <protection locked="0"/>
    </xf>
    <xf numFmtId="2" fontId="5" fillId="5" borderId="11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20" xfId="0" applyNumberFormat="1" applyFont="1" applyFill="1" applyBorder="1" applyAlignment="1" applyProtection="1">
      <alignment horizontal="center" vertical="center"/>
      <protection locked="0"/>
    </xf>
    <xf numFmtId="0" fontId="5" fillId="3" borderId="8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10" fillId="4" borderId="2" xfId="0" applyFont="1" applyFill="1" applyBorder="1" applyAlignment="1" applyProtection="1">
      <alignment horizontal="left" vertical="center"/>
      <protection locked="0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0" fontId="5" fillId="5" borderId="10" xfId="0" applyFont="1" applyFill="1" applyBorder="1" applyAlignment="1" applyProtection="1">
      <alignment horizontal="center" vertical="center"/>
      <protection locked="0"/>
    </xf>
    <xf numFmtId="0" fontId="5" fillId="5" borderId="11" xfId="0" applyFont="1" applyFill="1" applyBorder="1" applyAlignment="1" applyProtection="1">
      <alignment horizontal="center" vertical="center"/>
      <protection locked="0"/>
    </xf>
    <xf numFmtId="49" fontId="5" fillId="5" borderId="13" xfId="0" applyNumberFormat="1" applyFont="1" applyFill="1" applyBorder="1" applyAlignment="1" applyProtection="1">
      <alignment horizontal="center" vertical="center"/>
      <protection locked="0"/>
    </xf>
    <xf numFmtId="49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5" fillId="3" borderId="8" xfId="0" applyFont="1" applyFill="1" applyBorder="1" applyAlignment="1">
      <alignment horizontal="center" vertical="center"/>
    </xf>
    <xf numFmtId="2" fontId="5" fillId="5" borderId="22" xfId="0" applyNumberFormat="1" applyFont="1" applyFill="1" applyBorder="1" applyAlignment="1" applyProtection="1">
      <alignment horizontal="center" vertical="center"/>
      <protection locked="0"/>
    </xf>
    <xf numFmtId="2" fontId="5" fillId="5" borderId="23" xfId="0" applyNumberFormat="1" applyFont="1" applyFill="1" applyBorder="1" applyAlignment="1" applyProtection="1">
      <alignment horizontal="center" vertical="center"/>
      <protection locked="0"/>
    </xf>
    <xf numFmtId="0" fontId="5" fillId="3" borderId="9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20" fillId="8" borderId="4" xfId="0" applyFont="1" applyFill="1" applyBorder="1" applyAlignment="1">
      <alignment horizontal="center" vertical="center" wrapText="1"/>
    </xf>
    <xf numFmtId="0" fontId="20" fillId="8" borderId="6" xfId="0" applyFont="1" applyFill="1" applyBorder="1" applyAlignment="1">
      <alignment horizontal="center" vertical="center" wrapText="1"/>
    </xf>
    <xf numFmtId="0" fontId="21" fillId="4" borderId="4" xfId="0" applyFont="1" applyFill="1" applyBorder="1" applyAlignment="1" applyProtection="1">
      <alignment horizontal="center" vertical="center"/>
      <protection locked="0"/>
    </xf>
    <xf numFmtId="0" fontId="21" fillId="4" borderId="5" xfId="0" applyFont="1" applyFill="1" applyBorder="1" applyAlignment="1" applyProtection="1">
      <alignment horizontal="center" vertical="center"/>
      <protection locked="0"/>
    </xf>
    <xf numFmtId="0" fontId="21" fillId="4" borderId="6" xfId="0" applyFont="1" applyFill="1" applyBorder="1" applyAlignment="1" applyProtection="1">
      <alignment horizontal="center" vertical="center"/>
      <protection locked="0"/>
    </xf>
    <xf numFmtId="0" fontId="24" fillId="4" borderId="0" xfId="0" applyFont="1" applyFill="1" applyBorder="1" applyAlignment="1" applyProtection="1">
      <alignment horizontal="center" vertical="center"/>
      <protection hidden="1"/>
    </xf>
    <xf numFmtId="0" fontId="24" fillId="4" borderId="34" xfId="0" applyFont="1" applyFill="1" applyBorder="1" applyAlignment="1" applyProtection="1">
      <alignment horizontal="center" vertical="center"/>
      <protection hidden="1"/>
    </xf>
    <xf numFmtId="0" fontId="24" fillId="4" borderId="31" xfId="0" applyFont="1" applyFill="1" applyBorder="1" applyAlignment="1" applyProtection="1">
      <alignment horizontal="left" vertical="center"/>
      <protection hidden="1"/>
    </xf>
    <xf numFmtId="0" fontId="24" fillId="4" borderId="32" xfId="0" applyFont="1" applyFill="1" applyBorder="1" applyAlignment="1" applyProtection="1">
      <alignment horizontal="left" vertical="center"/>
      <protection hidden="1"/>
    </xf>
    <xf numFmtId="0" fontId="22" fillId="8" borderId="27" xfId="0" applyFont="1" applyFill="1" applyBorder="1" applyAlignment="1">
      <alignment horizontal="center" vertical="center" wrapText="1"/>
    </xf>
    <xf numFmtId="0" fontId="22" fillId="8" borderId="29" xfId="0" applyFont="1" applyFill="1" applyBorder="1" applyAlignment="1">
      <alignment horizontal="center" vertical="center" wrapText="1"/>
    </xf>
    <xf numFmtId="0" fontId="22" fillId="8" borderId="30" xfId="0" applyFont="1" applyFill="1" applyBorder="1" applyAlignment="1">
      <alignment horizontal="center" vertical="center" wrapText="1"/>
    </xf>
    <xf numFmtId="0" fontId="22" fillId="8" borderId="28" xfId="0" applyFont="1" applyFill="1" applyBorder="1" applyAlignment="1">
      <alignment horizontal="center" vertical="center" wrapText="1"/>
    </xf>
    <xf numFmtId="0" fontId="22" fillId="8" borderId="31" xfId="0" applyFont="1" applyFill="1" applyBorder="1" applyAlignment="1">
      <alignment horizontal="center" vertical="center" wrapText="1"/>
    </xf>
    <xf numFmtId="0" fontId="22" fillId="8" borderId="32" xfId="0" applyFont="1" applyFill="1" applyBorder="1" applyAlignment="1">
      <alignment horizontal="center" vertical="center" wrapText="1"/>
    </xf>
    <xf numFmtId="0" fontId="33" fillId="9" borderId="0" xfId="0" applyFont="1" applyFill="1" applyBorder="1" applyAlignment="1">
      <alignment horizontal="left" vertical="center" wrapText="1"/>
    </xf>
    <xf numFmtId="0" fontId="34" fillId="9" borderId="0" xfId="0" applyFont="1" applyFill="1" applyBorder="1" applyAlignment="1">
      <alignment horizontal="center" vertical="center"/>
    </xf>
  </cellXfs>
  <cellStyles count="2">
    <cellStyle name="Обычный" xfId="0" builtinId="0"/>
    <cellStyle name="Обычный 2" xfId="1"/>
  </cellStyles>
  <dxfs count="11">
    <dxf>
      <font>
        <color theme="1"/>
      </font>
      <numFmt numFmtId="2" formatCode="0.00"/>
      <fill>
        <patternFill patternType="solid">
          <bgColor rgb="FFCCFF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numFmt numFmtId="1" formatCode="0"/>
      <fill>
        <patternFill patternType="solid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numFmt numFmtId="2" formatCode="0.00"/>
      <fill>
        <patternFill patternType="solid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mbria"/>
        <scheme val="none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CCFF33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png"/><Relationship Id="rId1" Type="http://schemas.openxmlformats.org/officeDocument/2006/relationships/image" Target="../media/image22.png"/><Relationship Id="rId6" Type="http://schemas.openxmlformats.org/officeDocument/2006/relationships/image" Target="../media/image27.png"/><Relationship Id="rId5" Type="http://schemas.openxmlformats.org/officeDocument/2006/relationships/image" Target="../media/image26.png"/><Relationship Id="rId4" Type="http://schemas.openxmlformats.org/officeDocument/2006/relationships/image" Target="../media/image25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0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11</xdr:row>
          <xdr:rowOff>381000</xdr:rowOff>
        </xdr:from>
        <xdr:to>
          <xdr:col>4</xdr:col>
          <xdr:colOff>1912620</xdr:colOff>
          <xdr:row>13</xdr:row>
          <xdr:rowOff>30480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Розрахунок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2026920</xdr:colOff>
          <xdr:row>11</xdr:row>
          <xdr:rowOff>381000</xdr:rowOff>
        </xdr:from>
        <xdr:to>
          <xdr:col>4</xdr:col>
          <xdr:colOff>3177540</xdr:colOff>
          <xdr:row>13</xdr:row>
          <xdr:rowOff>30480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Налаштування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6</xdr:row>
          <xdr:rowOff>320040</xdr:rowOff>
        </xdr:from>
        <xdr:to>
          <xdr:col>9</xdr:col>
          <xdr:colOff>2080260</xdr:colOff>
          <xdr:row>8</xdr:row>
          <xdr:rowOff>106680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1" u="none" strike="noStrike" baseline="0">
                  <a:solidFill>
                    <a:srgbClr val="000080"/>
                  </a:solidFill>
                  <a:latin typeface="Calibri Light"/>
                  <a:cs typeface="Calibri Light"/>
                </a:rPr>
                <a:t>Створити: "Додаток №4 - </a:t>
              </a:r>
            </a:p>
            <a:p>
              <a:pPr algn="ctr" rtl="0">
                <a:defRPr sz="1000"/>
              </a:pPr>
              <a:r>
                <a:rPr lang="uk-UA" sz="1100" b="0" i="1" u="none" strike="noStrike" baseline="0">
                  <a:solidFill>
                    <a:srgbClr val="000080"/>
                  </a:solidFill>
                  <a:latin typeface="Calibri Light"/>
                  <a:cs typeface="Calibri Light"/>
                </a:rPr>
                <a:t>Розрахунок витрат на відрядження"</a:t>
              </a:r>
            </a:p>
            <a:p>
              <a:pPr algn="ctr" rtl="0">
                <a:defRPr sz="1000"/>
              </a:pPr>
              <a:r>
                <a:rPr lang="uk-UA" sz="1100" b="0" i="1" u="none" strike="noStrike" baseline="0">
                  <a:solidFill>
                    <a:srgbClr val="000080"/>
                  </a:solidFill>
                  <a:latin typeface="Calibri Light"/>
                  <a:cs typeface="Calibri Light"/>
                </a:rPr>
                <a:t>(окремо для кожного)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2286000</xdr:colOff>
          <xdr:row>6</xdr:row>
          <xdr:rowOff>320040</xdr:rowOff>
        </xdr:from>
        <xdr:to>
          <xdr:col>10</xdr:col>
          <xdr:colOff>396240</xdr:colOff>
          <xdr:row>8</xdr:row>
          <xdr:rowOff>106680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1" u="none" strike="noStrike" baseline="0">
                  <a:solidFill>
                    <a:srgbClr val="FF0000"/>
                  </a:solidFill>
                  <a:latin typeface="Calibri Light"/>
                  <a:cs typeface="Calibri Light"/>
                </a:rPr>
                <a:t>Створити: "Додаток №10 - </a:t>
              </a:r>
            </a:p>
            <a:p>
              <a:pPr algn="ctr" rtl="0">
                <a:defRPr sz="1000"/>
              </a:pPr>
              <a:r>
                <a:rPr lang="uk-UA" sz="1100" b="0" i="1" u="none" strike="noStrike" baseline="0">
                  <a:solidFill>
                    <a:srgbClr val="FF0000"/>
                  </a:solidFill>
                  <a:latin typeface="Calibri Light"/>
                  <a:cs typeface="Calibri Light"/>
                </a:rPr>
                <a:t>Звіт про виконання завдання по відрядженню по Україні"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388620</xdr:colOff>
          <xdr:row>6</xdr:row>
          <xdr:rowOff>320040</xdr:rowOff>
        </xdr:from>
        <xdr:to>
          <xdr:col>7</xdr:col>
          <xdr:colOff>1028700</xdr:colOff>
          <xdr:row>8</xdr:row>
          <xdr:rowOff>106680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1" u="none" strike="noStrike" baseline="0">
                  <a:solidFill>
                    <a:srgbClr val="339966"/>
                  </a:solidFill>
                  <a:latin typeface="Calibri Light"/>
                  <a:cs typeface="Calibri Light"/>
                </a:rPr>
                <a:t>Створити: "Додаток №5 - </a:t>
              </a:r>
            </a:p>
            <a:p>
              <a:pPr algn="ctr" rtl="0">
                <a:defRPr sz="1000"/>
              </a:pPr>
              <a:r>
                <a:rPr lang="uk-UA" sz="1100" b="0" i="1" u="none" strike="noStrike" baseline="0">
                  <a:solidFill>
                    <a:srgbClr val="339966"/>
                  </a:solidFill>
                  <a:latin typeface="Calibri Light"/>
                  <a:cs typeface="Calibri Light"/>
                </a:rPr>
                <a:t>Розрахунок витрат на відрядження</a:t>
              </a:r>
            </a:p>
            <a:p>
              <a:pPr algn="ctr" rtl="0">
                <a:defRPr sz="1000"/>
              </a:pPr>
              <a:r>
                <a:rPr lang="uk-UA" sz="1100" b="0" i="1" u="none" strike="noStrike" baseline="0">
                  <a:solidFill>
                    <a:srgbClr val="339966"/>
                  </a:solidFill>
                  <a:latin typeface="Calibri Light"/>
                  <a:cs typeface="Calibri Light"/>
                </a:rPr>
                <a:t>для групи працівників"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10</xdr:row>
          <xdr:rowOff>38100</xdr:rowOff>
        </xdr:from>
        <xdr:to>
          <xdr:col>13</xdr:col>
          <xdr:colOff>617220</xdr:colOff>
          <xdr:row>10</xdr:row>
          <xdr:rowOff>792480</xdr:rowOff>
        </xdr:to>
        <xdr:sp macro="" textlink="">
          <xdr:nvSpPr>
            <xdr:cNvPr id="1040" name="CheckBox1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11</xdr:row>
          <xdr:rowOff>38100</xdr:rowOff>
        </xdr:from>
        <xdr:to>
          <xdr:col>13</xdr:col>
          <xdr:colOff>617220</xdr:colOff>
          <xdr:row>11</xdr:row>
          <xdr:rowOff>792480</xdr:rowOff>
        </xdr:to>
        <xdr:sp macro="" textlink="">
          <xdr:nvSpPr>
            <xdr:cNvPr id="1042" name="CheckBox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12</xdr:row>
          <xdr:rowOff>30480</xdr:rowOff>
        </xdr:from>
        <xdr:to>
          <xdr:col>13</xdr:col>
          <xdr:colOff>617220</xdr:colOff>
          <xdr:row>12</xdr:row>
          <xdr:rowOff>784860</xdr:rowOff>
        </xdr:to>
        <xdr:sp macro="" textlink="">
          <xdr:nvSpPr>
            <xdr:cNvPr id="1043" name="CheckBox3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13</xdr:row>
          <xdr:rowOff>22860</xdr:rowOff>
        </xdr:from>
        <xdr:to>
          <xdr:col>13</xdr:col>
          <xdr:colOff>617220</xdr:colOff>
          <xdr:row>13</xdr:row>
          <xdr:rowOff>777240</xdr:rowOff>
        </xdr:to>
        <xdr:sp macro="" textlink="">
          <xdr:nvSpPr>
            <xdr:cNvPr id="1044" name="CheckBox4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14</xdr:row>
          <xdr:rowOff>15240</xdr:rowOff>
        </xdr:from>
        <xdr:to>
          <xdr:col>13</xdr:col>
          <xdr:colOff>617220</xdr:colOff>
          <xdr:row>14</xdr:row>
          <xdr:rowOff>777240</xdr:rowOff>
        </xdr:to>
        <xdr:sp macro="" textlink="">
          <xdr:nvSpPr>
            <xdr:cNvPr id="1045" name="CheckBox5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15</xdr:row>
          <xdr:rowOff>7620</xdr:rowOff>
        </xdr:from>
        <xdr:to>
          <xdr:col>13</xdr:col>
          <xdr:colOff>617220</xdr:colOff>
          <xdr:row>15</xdr:row>
          <xdr:rowOff>769620</xdr:rowOff>
        </xdr:to>
        <xdr:sp macro="" textlink="">
          <xdr:nvSpPr>
            <xdr:cNvPr id="1046" name="CheckBox6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16</xdr:row>
          <xdr:rowOff>0</xdr:rowOff>
        </xdr:from>
        <xdr:to>
          <xdr:col>14</xdr:col>
          <xdr:colOff>0</xdr:colOff>
          <xdr:row>16</xdr:row>
          <xdr:rowOff>762000</xdr:rowOff>
        </xdr:to>
        <xdr:sp macro="" textlink="">
          <xdr:nvSpPr>
            <xdr:cNvPr id="1047" name="CheckBox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17</xdr:row>
          <xdr:rowOff>30480</xdr:rowOff>
        </xdr:from>
        <xdr:to>
          <xdr:col>14</xdr:col>
          <xdr:colOff>0</xdr:colOff>
          <xdr:row>17</xdr:row>
          <xdr:rowOff>777240</xdr:rowOff>
        </xdr:to>
        <xdr:sp macro="" textlink="">
          <xdr:nvSpPr>
            <xdr:cNvPr id="1048" name="CheckBox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18</xdr:row>
          <xdr:rowOff>30480</xdr:rowOff>
        </xdr:from>
        <xdr:to>
          <xdr:col>13</xdr:col>
          <xdr:colOff>617220</xdr:colOff>
          <xdr:row>18</xdr:row>
          <xdr:rowOff>784860</xdr:rowOff>
        </xdr:to>
        <xdr:sp macro="" textlink="">
          <xdr:nvSpPr>
            <xdr:cNvPr id="1053" name="CheckBox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19</xdr:row>
          <xdr:rowOff>30480</xdr:rowOff>
        </xdr:from>
        <xdr:to>
          <xdr:col>13</xdr:col>
          <xdr:colOff>617220</xdr:colOff>
          <xdr:row>19</xdr:row>
          <xdr:rowOff>784860</xdr:rowOff>
        </xdr:to>
        <xdr:sp macro="" textlink="">
          <xdr:nvSpPr>
            <xdr:cNvPr id="1054" name="CheckBox1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20</xdr:row>
          <xdr:rowOff>30480</xdr:rowOff>
        </xdr:from>
        <xdr:to>
          <xdr:col>14</xdr:col>
          <xdr:colOff>0</xdr:colOff>
          <xdr:row>20</xdr:row>
          <xdr:rowOff>784860</xdr:rowOff>
        </xdr:to>
        <xdr:sp macro="" textlink="">
          <xdr:nvSpPr>
            <xdr:cNvPr id="1055" name="CheckBox1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21</xdr:row>
          <xdr:rowOff>38100</xdr:rowOff>
        </xdr:from>
        <xdr:to>
          <xdr:col>14</xdr:col>
          <xdr:colOff>0</xdr:colOff>
          <xdr:row>21</xdr:row>
          <xdr:rowOff>792480</xdr:rowOff>
        </xdr:to>
        <xdr:sp macro="" textlink="">
          <xdr:nvSpPr>
            <xdr:cNvPr id="1056" name="CheckBox1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22</xdr:row>
          <xdr:rowOff>38100</xdr:rowOff>
        </xdr:from>
        <xdr:to>
          <xdr:col>14</xdr:col>
          <xdr:colOff>0</xdr:colOff>
          <xdr:row>22</xdr:row>
          <xdr:rowOff>800100</xdr:rowOff>
        </xdr:to>
        <xdr:sp macro="" textlink="">
          <xdr:nvSpPr>
            <xdr:cNvPr id="1057" name="CheckBox1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23</xdr:row>
          <xdr:rowOff>45720</xdr:rowOff>
        </xdr:from>
        <xdr:to>
          <xdr:col>14</xdr:col>
          <xdr:colOff>0</xdr:colOff>
          <xdr:row>23</xdr:row>
          <xdr:rowOff>807720</xdr:rowOff>
        </xdr:to>
        <xdr:sp macro="" textlink="">
          <xdr:nvSpPr>
            <xdr:cNvPr id="1058" name="CheckBox1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24</xdr:row>
          <xdr:rowOff>45720</xdr:rowOff>
        </xdr:from>
        <xdr:to>
          <xdr:col>14</xdr:col>
          <xdr:colOff>0</xdr:colOff>
          <xdr:row>24</xdr:row>
          <xdr:rowOff>807720</xdr:rowOff>
        </xdr:to>
        <xdr:sp macro="" textlink="">
          <xdr:nvSpPr>
            <xdr:cNvPr id="1059" name="CheckBox1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25</xdr:row>
          <xdr:rowOff>38100</xdr:rowOff>
        </xdr:from>
        <xdr:to>
          <xdr:col>14</xdr:col>
          <xdr:colOff>0</xdr:colOff>
          <xdr:row>25</xdr:row>
          <xdr:rowOff>800100</xdr:rowOff>
        </xdr:to>
        <xdr:sp macro="" textlink="">
          <xdr:nvSpPr>
            <xdr:cNvPr id="1060" name="CheckBox1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26</xdr:row>
          <xdr:rowOff>30480</xdr:rowOff>
        </xdr:from>
        <xdr:to>
          <xdr:col>14</xdr:col>
          <xdr:colOff>0</xdr:colOff>
          <xdr:row>26</xdr:row>
          <xdr:rowOff>792480</xdr:rowOff>
        </xdr:to>
        <xdr:sp macro="" textlink="">
          <xdr:nvSpPr>
            <xdr:cNvPr id="1069" name="CheckBox17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27</xdr:row>
          <xdr:rowOff>38100</xdr:rowOff>
        </xdr:from>
        <xdr:to>
          <xdr:col>14</xdr:col>
          <xdr:colOff>0</xdr:colOff>
          <xdr:row>27</xdr:row>
          <xdr:rowOff>800100</xdr:rowOff>
        </xdr:to>
        <xdr:sp macro="" textlink="">
          <xdr:nvSpPr>
            <xdr:cNvPr id="1070" name="CheckBox18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28</xdr:row>
          <xdr:rowOff>30480</xdr:rowOff>
        </xdr:from>
        <xdr:to>
          <xdr:col>14</xdr:col>
          <xdr:colOff>0</xdr:colOff>
          <xdr:row>28</xdr:row>
          <xdr:rowOff>792480</xdr:rowOff>
        </xdr:to>
        <xdr:sp macro="" textlink="">
          <xdr:nvSpPr>
            <xdr:cNvPr id="1071" name="CheckBox19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29</xdr:row>
          <xdr:rowOff>30480</xdr:rowOff>
        </xdr:from>
        <xdr:to>
          <xdr:col>14</xdr:col>
          <xdr:colOff>0</xdr:colOff>
          <xdr:row>29</xdr:row>
          <xdr:rowOff>792480</xdr:rowOff>
        </xdr:to>
        <xdr:sp macro="" textlink="">
          <xdr:nvSpPr>
            <xdr:cNvPr id="1072" name="CheckBox20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30</xdr:row>
          <xdr:rowOff>30480</xdr:rowOff>
        </xdr:from>
        <xdr:to>
          <xdr:col>14</xdr:col>
          <xdr:colOff>0</xdr:colOff>
          <xdr:row>30</xdr:row>
          <xdr:rowOff>784860</xdr:rowOff>
        </xdr:to>
        <xdr:sp macro="" textlink="">
          <xdr:nvSpPr>
            <xdr:cNvPr id="1073" name="CheckBox21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1</xdr:row>
          <xdr:rowOff>0</xdr:rowOff>
        </xdr:from>
        <xdr:to>
          <xdr:col>10</xdr:col>
          <xdr:colOff>1211580</xdr:colOff>
          <xdr:row>2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База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</xdr:row>
          <xdr:rowOff>0</xdr:rowOff>
        </xdr:from>
        <xdr:to>
          <xdr:col>11</xdr:col>
          <xdr:colOff>1226820</xdr:colOff>
          <xdr:row>2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Налаштування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453515</xdr:colOff>
      <xdr:row>4</xdr:row>
      <xdr:rowOff>30480</xdr:rowOff>
    </xdr:from>
    <xdr:to>
      <xdr:col>4</xdr:col>
      <xdr:colOff>289602</xdr:colOff>
      <xdr:row>7</xdr:row>
      <xdr:rowOff>733302</xdr:rowOff>
    </xdr:to>
    <xdr:grpSp>
      <xdr:nvGrpSpPr>
        <xdr:cNvPr id="6" name="Группа 5"/>
        <xdr:cNvGrpSpPr/>
      </xdr:nvGrpSpPr>
      <xdr:grpSpPr>
        <a:xfrm>
          <a:off x="2085091" y="1106245"/>
          <a:ext cx="490511" cy="2961928"/>
          <a:chOff x="1726055" y="1097280"/>
          <a:chExt cx="491407" cy="2965962"/>
        </a:xfrm>
      </xdr:grpSpPr>
      <xdr:pic>
        <xdr:nvPicPr>
          <xdr:cNvPr id="2" name="Рисунок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29740" y="1097280"/>
            <a:ext cx="487722" cy="701101"/>
          </a:xfrm>
          <a:prstGeom prst="rect">
            <a:avLst/>
          </a:prstGeom>
        </xdr:spPr>
      </xdr:pic>
      <xdr:pic>
        <xdr:nvPicPr>
          <xdr:cNvPr id="3" name="Рисунок 2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27340" y="1856880"/>
            <a:ext cx="487722" cy="701101"/>
          </a:xfrm>
          <a:prstGeom prst="rect">
            <a:avLst/>
          </a:prstGeom>
        </xdr:spPr>
      </xdr:pic>
      <xdr:pic>
        <xdr:nvPicPr>
          <xdr:cNvPr id="4" name="Рисунок 3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26055" y="2606072"/>
            <a:ext cx="487722" cy="701287"/>
          </a:xfrm>
          <a:prstGeom prst="rect">
            <a:avLst/>
          </a:prstGeom>
        </xdr:spPr>
      </xdr:pic>
      <xdr:pic>
        <xdr:nvPicPr>
          <xdr:cNvPr id="5" name="Рисунок 4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27373" y="3361956"/>
            <a:ext cx="487722" cy="70128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302279</xdr:colOff>
      <xdr:row>4</xdr:row>
      <xdr:rowOff>135731</xdr:rowOff>
    </xdr:from>
    <xdr:to>
      <xdr:col>11</xdr:col>
      <xdr:colOff>409949</xdr:colOff>
      <xdr:row>7</xdr:row>
      <xdr:rowOff>610465</xdr:rowOff>
    </xdr:to>
    <xdr:grpSp>
      <xdr:nvGrpSpPr>
        <xdr:cNvPr id="12" name="Группа 11"/>
        <xdr:cNvGrpSpPr/>
      </xdr:nvGrpSpPr>
      <xdr:grpSpPr>
        <a:xfrm>
          <a:off x="6469997" y="1211496"/>
          <a:ext cx="762093" cy="2733840"/>
          <a:chOff x="6383039" y="1202531"/>
          <a:chExt cx="717270" cy="2737874"/>
        </a:xfrm>
      </xdr:grpSpPr>
      <xdr:pic>
        <xdr:nvPicPr>
          <xdr:cNvPr id="8" name="Рисунок 7"/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85216" y="1202531"/>
            <a:ext cx="702000" cy="488346"/>
          </a:xfrm>
          <a:prstGeom prst="rect">
            <a:avLst/>
          </a:prstGeom>
        </xdr:spPr>
      </xdr:pic>
      <xdr:pic>
        <xdr:nvPicPr>
          <xdr:cNvPr id="9" name="Рисунок 8"/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83039" y="1962131"/>
            <a:ext cx="702000" cy="488346"/>
          </a:xfrm>
          <a:prstGeom prst="rect">
            <a:avLst/>
          </a:prstGeom>
        </xdr:spPr>
      </xdr:pic>
      <xdr:pic>
        <xdr:nvPicPr>
          <xdr:cNvPr id="10" name="Рисунок 9"/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89494" y="2711416"/>
            <a:ext cx="702000" cy="488346"/>
          </a:xfrm>
          <a:prstGeom prst="rect">
            <a:avLst/>
          </a:prstGeom>
        </xdr:spPr>
      </xdr:pic>
      <xdr:pic>
        <xdr:nvPicPr>
          <xdr:cNvPr id="11" name="Рисунок 10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8309" y="3452059"/>
            <a:ext cx="702000" cy="488346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453515</xdr:colOff>
      <xdr:row>4</xdr:row>
      <xdr:rowOff>30480</xdr:rowOff>
    </xdr:from>
    <xdr:to>
      <xdr:col>18</xdr:col>
      <xdr:colOff>289602</xdr:colOff>
      <xdr:row>7</xdr:row>
      <xdr:rowOff>733302</xdr:rowOff>
    </xdr:to>
    <xdr:grpSp>
      <xdr:nvGrpSpPr>
        <xdr:cNvPr id="18" name="Группа 17"/>
        <xdr:cNvGrpSpPr/>
      </xdr:nvGrpSpPr>
      <xdr:grpSpPr>
        <a:xfrm>
          <a:off x="11157374" y="1106245"/>
          <a:ext cx="490510" cy="2961928"/>
          <a:chOff x="1726055" y="1097280"/>
          <a:chExt cx="491407" cy="2965962"/>
        </a:xfrm>
      </xdr:grpSpPr>
      <xdr:pic>
        <xdr:nvPicPr>
          <xdr:cNvPr id="19" name="Рисунок 18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29740" y="1097280"/>
            <a:ext cx="487722" cy="701101"/>
          </a:xfrm>
          <a:prstGeom prst="rect">
            <a:avLst/>
          </a:prstGeom>
        </xdr:spPr>
      </xdr:pic>
      <xdr:pic>
        <xdr:nvPicPr>
          <xdr:cNvPr id="20" name="Рисунок 19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27340" y="1856880"/>
            <a:ext cx="487722" cy="701101"/>
          </a:xfrm>
          <a:prstGeom prst="rect">
            <a:avLst/>
          </a:prstGeom>
        </xdr:spPr>
      </xdr:pic>
      <xdr:pic>
        <xdr:nvPicPr>
          <xdr:cNvPr id="21" name="Рисунок 20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26055" y="2606072"/>
            <a:ext cx="487722" cy="701287"/>
          </a:xfrm>
          <a:prstGeom prst="rect">
            <a:avLst/>
          </a:prstGeom>
        </xdr:spPr>
      </xdr:pic>
      <xdr:pic>
        <xdr:nvPicPr>
          <xdr:cNvPr id="22" name="Рисунок 21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27373" y="3361956"/>
            <a:ext cx="487722" cy="70128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1</xdr:row>
          <xdr:rowOff>0</xdr:rowOff>
        </xdr:from>
        <xdr:to>
          <xdr:col>23</xdr:col>
          <xdr:colOff>541020</xdr:colOff>
          <xdr:row>2</xdr:row>
          <xdr:rowOff>160020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База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45720</xdr:colOff>
          <xdr:row>1</xdr:row>
          <xdr:rowOff>0</xdr:rowOff>
        </xdr:from>
        <xdr:to>
          <xdr:col>25</xdr:col>
          <xdr:colOff>586740</xdr:colOff>
          <xdr:row>2</xdr:row>
          <xdr:rowOff>160020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Розрахунок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89337</xdr:colOff>
      <xdr:row>0</xdr:row>
      <xdr:rowOff>0</xdr:rowOff>
    </xdr:from>
    <xdr:to>
      <xdr:col>30</xdr:col>
      <xdr:colOff>126123</xdr:colOff>
      <xdr:row>12</xdr:row>
      <xdr:rowOff>36786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1167">
                      <a14:foregroundMark x1="39667" y1="27833" x2="39667" y2="27833"/>
                      <a14:foregroundMark x1="40833" y1="27167" x2="43833" y2="19333"/>
                      <a14:foregroundMark x1="44833" y1="18500" x2="50667" y2="20667"/>
                      <a14:foregroundMark x1="52167" y1="22333" x2="55333" y2="24333"/>
                      <a14:foregroundMark x1="56833" y1="23667" x2="64667" y2="18167"/>
                      <a14:foregroundMark x1="65000" y1="18167" x2="68500" y2="19833"/>
                      <a14:foregroundMark x1="68333" y1="21667" x2="64333" y2="33500"/>
                      <a14:foregroundMark x1="65833" y1="36500" x2="67667" y2="41167"/>
                      <a14:foregroundMark x1="69667" y1="42667" x2="74667" y2="45667"/>
                      <a14:foregroundMark x1="75333" y1="47167" x2="77000" y2="50167"/>
                      <a14:foregroundMark x1="78000" y1="44833" x2="82500" y2="42000"/>
                      <a14:foregroundMark x1="86833" y1="43333" x2="88333" y2="45500"/>
                      <a14:foregroundMark x1="89000" y1="50500" x2="87000" y2="52000"/>
                      <a14:foregroundMark x1="86333" y1="53500" x2="77667" y2="52167"/>
                      <a14:foregroundMark x1="79833" y1="47333" x2="86000" y2="47333"/>
                      <a14:foregroundMark x1="77500" y1="54667" x2="81000" y2="58167"/>
                      <a14:foregroundMark x1="82000" y1="58500" x2="86000" y2="67333"/>
                      <a14:foregroundMark x1="86000" y1="71000" x2="82500" y2="77667"/>
                      <a14:foregroundMark x1="81500" y1="78667" x2="77500" y2="81167"/>
                      <a14:foregroundMark x1="77500" y1="81167" x2="35667" y2="80667"/>
                      <a14:foregroundMark x1="35667" y1="81000" x2="20833" y2="79500"/>
                      <a14:foregroundMark x1="20833" y1="79500" x2="14833" y2="72667"/>
                      <a14:foregroundMark x1="14167" y1="69833" x2="16167" y2="61000"/>
                      <a14:foregroundMark x1="17500" y1="59833" x2="21167" y2="55500"/>
                      <a14:foregroundMark x1="21167" y1="54167" x2="24000" y2="46000"/>
                      <a14:foregroundMark x1="25000" y1="44833" x2="29667" y2="40333"/>
                      <a14:foregroundMark x1="24167" y1="41000" x2="16500" y2="40333"/>
                      <a14:foregroundMark x1="14167" y1="39167" x2="10333" y2="33167"/>
                      <a14:foregroundMark x1="10667" y1="28667" x2="15333" y2="20833"/>
                      <a14:foregroundMark x1="17333" y1="19833" x2="23000" y2="18333"/>
                      <a14:foregroundMark x1="25167" y1="18500" x2="30667" y2="20167"/>
                      <a14:foregroundMark x1="32667" y1="22833" x2="34667" y2="27000"/>
                      <a14:foregroundMark x1="16167" y1="26667" x2="31500" y2="30500"/>
                      <a14:foregroundMark x1="25167" y1="35500" x2="13667" y2="31167"/>
                      <a14:foregroundMark x1="25667" y1="31333" x2="28667" y2="34333"/>
                      <a14:foregroundMark x1="30500" y1="26000" x2="36167" y2="31167"/>
                      <a14:foregroundMark x1="33167" y1="30833" x2="28833" y2="36833"/>
                      <a14:foregroundMark x1="14500" y1="36833" x2="12167" y2="28000"/>
                      <a14:foregroundMark x1="12500" y1="27333" x2="19333" y2="20667"/>
                      <a14:foregroundMark x1="27667" y1="20833" x2="30833" y2="22500"/>
                      <a14:backgroundMark x1="37167" y1="28333" x2="37167" y2="28333"/>
                      <a14:backgroundMark x1="36833" y1="29833" x2="36833" y2="29833"/>
                      <a14:backgroundMark x1="36667" y1="30500" x2="36667" y2="30500"/>
                      <a14:backgroundMark x1="79333" y1="54333" x2="83333" y2="5600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75737" y="0"/>
          <a:ext cx="3694386" cy="3694386"/>
        </a:xfrm>
        <a:prstGeom prst="rect">
          <a:avLst/>
        </a:prstGeom>
        <a:effectLst>
          <a:softEdge rad="1270000"/>
        </a:effectLst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</xdr:colOff>
          <xdr:row>8</xdr:row>
          <xdr:rowOff>190500</xdr:rowOff>
        </xdr:from>
        <xdr:to>
          <xdr:col>11</xdr:col>
          <xdr:colOff>198120</xdr:colOff>
          <xdr:row>9</xdr:row>
          <xdr:rowOff>220980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Натисни мене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A1:D26" totalsRowShown="0" headerRowDxfId="10" dataDxfId="8" headerRowBorderDxfId="9" tableBorderDxfId="7">
  <autoFilter ref="A1:D26"/>
  <sortState ref="A2:E25">
    <sortCondition ref="A1:A25"/>
  </sortState>
  <tableColumns count="4">
    <tableColumn id="1" name="№" dataDxfId="6"/>
    <tableColumn id="2" name="Призвище, Ім'я та По батькові" dataDxfId="5"/>
    <tableColumn id="3" name="TN" dataDxfId="4"/>
    <tableColumn id="4" name="Посада" dataDxfId="3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ctrlProp" Target="../ctrlProps/ctrlProp4.xml"/><Relationship Id="rId50" Type="http://schemas.openxmlformats.org/officeDocument/2006/relationships/ctrlProp" Target="../ctrlProps/ctrlProp7.x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trlProp" Target="../ctrlProps/ctrlProp6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trlProp" Target="../ctrlProps/ctrlProp5.xml"/><Relationship Id="rId8" Type="http://schemas.openxmlformats.org/officeDocument/2006/relationships/control" Target="../activeX/activeX3.xml"/><Relationship Id="rId51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trlProp" Target="../ctrlProps/ctrlProp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theme="4" tint="0.59999389629810485"/>
  </sheetPr>
  <dimension ref="A1:G318"/>
  <sheetViews>
    <sheetView topLeftCell="E1" zoomScale="90" zoomScaleNormal="90" workbookViewId="0">
      <selection activeCell="E10" sqref="E10"/>
    </sheetView>
  </sheetViews>
  <sheetFormatPr defaultRowHeight="14.4" x14ac:dyDescent="0.3"/>
  <cols>
    <col min="1" max="1" width="6.5546875" style="40" customWidth="1"/>
    <col min="2" max="2" width="49.5546875" style="40" customWidth="1"/>
    <col min="3" max="3" width="19.88671875" style="48" customWidth="1"/>
    <col min="4" max="4" width="71" style="40" customWidth="1"/>
    <col min="5" max="5" width="58.33203125" style="40" customWidth="1"/>
    <col min="6" max="6" width="0" style="39" hidden="1" customWidth="1"/>
    <col min="7" max="7" width="12" style="39" hidden="1" customWidth="1"/>
    <col min="8" max="16384" width="8.88671875" style="39"/>
  </cols>
  <sheetData>
    <row r="1" spans="1:7" s="38" customFormat="1" ht="21" x14ac:dyDescent="0.4">
      <c r="A1" s="52" t="s">
        <v>18</v>
      </c>
      <c r="B1" s="52" t="s">
        <v>0</v>
      </c>
      <c r="C1" s="53" t="s">
        <v>116</v>
      </c>
      <c r="D1" s="52" t="s">
        <v>1</v>
      </c>
      <c r="E1" s="54" t="s">
        <v>2</v>
      </c>
      <c r="F1" s="37"/>
      <c r="G1" s="37"/>
    </row>
    <row r="2" spans="1:7" ht="30.75" customHeight="1" x14ac:dyDescent="0.3">
      <c r="A2" s="45">
        <v>1</v>
      </c>
      <c r="B2" s="34" t="s">
        <v>76</v>
      </c>
      <c r="C2" s="45">
        <v>50030388</v>
      </c>
      <c r="D2" s="34" t="s">
        <v>118</v>
      </c>
      <c r="E2" s="50" t="s">
        <v>110</v>
      </c>
      <c r="F2" s="41" t="s">
        <v>19</v>
      </c>
      <c r="G2" s="42" t="s">
        <v>20</v>
      </c>
    </row>
    <row r="3" spans="1:7" ht="30.75" customHeight="1" x14ac:dyDescent="0.3">
      <c r="A3" s="45">
        <v>2</v>
      </c>
      <c r="B3" s="34" t="s">
        <v>59</v>
      </c>
      <c r="C3" s="45">
        <v>50030459</v>
      </c>
      <c r="D3" s="34" t="s">
        <v>123</v>
      </c>
      <c r="E3" s="49" t="s">
        <v>63</v>
      </c>
      <c r="F3" s="41" t="s">
        <v>21</v>
      </c>
      <c r="G3" s="43" t="s">
        <v>22</v>
      </c>
    </row>
    <row r="4" spans="1:7" ht="30.75" customHeight="1" x14ac:dyDescent="0.3">
      <c r="A4" s="45">
        <v>3</v>
      </c>
      <c r="B4" s="34" t="s">
        <v>109</v>
      </c>
      <c r="C4" s="45">
        <v>50030460</v>
      </c>
      <c r="D4" s="34" t="s">
        <v>123</v>
      </c>
      <c r="E4" s="49" t="s">
        <v>64</v>
      </c>
      <c r="F4" s="41" t="s">
        <v>23</v>
      </c>
      <c r="G4" s="43" t="s">
        <v>24</v>
      </c>
    </row>
    <row r="5" spans="1:7" ht="30.75" customHeight="1" x14ac:dyDescent="0.3">
      <c r="A5" s="45">
        <v>4</v>
      </c>
      <c r="B5" s="34" t="s">
        <v>114</v>
      </c>
      <c r="C5" s="45">
        <v>50030553</v>
      </c>
      <c r="D5" s="34" t="s">
        <v>117</v>
      </c>
      <c r="E5" s="49" t="s">
        <v>62</v>
      </c>
      <c r="F5" s="41" t="s">
        <v>25</v>
      </c>
      <c r="G5" s="43" t="s">
        <v>26</v>
      </c>
    </row>
    <row r="6" spans="1:7" ht="30.75" customHeight="1" x14ac:dyDescent="0.3">
      <c r="A6" s="45">
        <v>5</v>
      </c>
      <c r="B6" s="34" t="s">
        <v>9</v>
      </c>
      <c r="C6" s="45">
        <v>50035320</v>
      </c>
      <c r="D6" s="34" t="s">
        <v>118</v>
      </c>
      <c r="E6" s="50" t="s">
        <v>93</v>
      </c>
      <c r="F6" s="41" t="s">
        <v>27</v>
      </c>
      <c r="G6" s="43" t="s">
        <v>28</v>
      </c>
    </row>
    <row r="7" spans="1:7" ht="30.75" customHeight="1" x14ac:dyDescent="0.3">
      <c r="A7" s="45">
        <v>6</v>
      </c>
      <c r="B7" s="34" t="s">
        <v>6</v>
      </c>
      <c r="C7" s="45">
        <v>50035323</v>
      </c>
      <c r="D7" s="34" t="s">
        <v>119</v>
      </c>
      <c r="E7" s="50" t="s">
        <v>78</v>
      </c>
      <c r="F7" s="41" t="s">
        <v>29</v>
      </c>
      <c r="G7" s="43" t="s">
        <v>30</v>
      </c>
    </row>
    <row r="8" spans="1:7" ht="30.75" customHeight="1" x14ac:dyDescent="0.3">
      <c r="A8" s="45">
        <v>7</v>
      </c>
      <c r="B8" s="34" t="s">
        <v>14</v>
      </c>
      <c r="C8" s="45">
        <v>50035325</v>
      </c>
      <c r="D8" s="34" t="s">
        <v>120</v>
      </c>
      <c r="E8" s="49" t="s">
        <v>218</v>
      </c>
      <c r="F8" s="41" t="s">
        <v>31</v>
      </c>
      <c r="G8" s="43" t="s">
        <v>32</v>
      </c>
    </row>
    <row r="9" spans="1:7" ht="30.75" customHeight="1" x14ac:dyDescent="0.3">
      <c r="A9" s="45">
        <v>8</v>
      </c>
      <c r="B9" s="34" t="s">
        <v>13</v>
      </c>
      <c r="C9" s="45">
        <v>50035329</v>
      </c>
      <c r="D9" s="34" t="s">
        <v>121</v>
      </c>
      <c r="E9" s="50" t="s">
        <v>228</v>
      </c>
      <c r="F9" s="41" t="s">
        <v>33</v>
      </c>
      <c r="G9" s="43" t="s">
        <v>34</v>
      </c>
    </row>
    <row r="10" spans="1:7" ht="30.75" customHeight="1" x14ac:dyDescent="0.3">
      <c r="A10" s="45">
        <v>9</v>
      </c>
      <c r="B10" s="34" t="s">
        <v>101</v>
      </c>
      <c r="C10" s="45">
        <v>50035463</v>
      </c>
      <c r="D10" s="34" t="s">
        <v>123</v>
      </c>
      <c r="E10" s="51"/>
      <c r="F10" s="41" t="s">
        <v>35</v>
      </c>
      <c r="G10" s="43" t="s">
        <v>36</v>
      </c>
    </row>
    <row r="11" spans="1:7" ht="30.75" customHeight="1" x14ac:dyDescent="0.3">
      <c r="A11" s="45">
        <v>10</v>
      </c>
      <c r="B11" s="34" t="s">
        <v>77</v>
      </c>
      <c r="C11" s="45">
        <v>50035467</v>
      </c>
      <c r="D11" s="34" t="s">
        <v>123</v>
      </c>
      <c r="E11" s="51"/>
      <c r="F11" s="41" t="s">
        <v>37</v>
      </c>
      <c r="G11" s="43" t="s">
        <v>38</v>
      </c>
    </row>
    <row r="12" spans="1:7" ht="30.75" customHeight="1" x14ac:dyDescent="0.3">
      <c r="A12" s="45">
        <v>11</v>
      </c>
      <c r="B12" s="34" t="s">
        <v>57</v>
      </c>
      <c r="C12" s="45">
        <v>50035469</v>
      </c>
      <c r="D12" s="34" t="s">
        <v>123</v>
      </c>
      <c r="E12" s="39"/>
      <c r="F12" s="41" t="s">
        <v>39</v>
      </c>
      <c r="G12" s="43" t="s">
        <v>40</v>
      </c>
    </row>
    <row r="13" spans="1:7" ht="30.75" customHeight="1" x14ac:dyDescent="0.3">
      <c r="A13" s="45">
        <v>12</v>
      </c>
      <c r="B13" s="34" t="s">
        <v>49</v>
      </c>
      <c r="C13" s="45">
        <v>50035473</v>
      </c>
      <c r="D13" s="34" t="s">
        <v>123</v>
      </c>
      <c r="E13" s="39"/>
      <c r="F13" s="41" t="s">
        <v>41</v>
      </c>
      <c r="G13" s="43" t="s">
        <v>42</v>
      </c>
    </row>
    <row r="14" spans="1:7" ht="30.75" customHeight="1" x14ac:dyDescent="0.3">
      <c r="A14" s="45">
        <v>13</v>
      </c>
      <c r="B14" s="35" t="s">
        <v>50</v>
      </c>
      <c r="C14" s="46">
        <v>50035485</v>
      </c>
      <c r="D14" s="34" t="s">
        <v>124</v>
      </c>
      <c r="E14" s="39"/>
    </row>
    <row r="15" spans="1:7" ht="30.75" customHeight="1" x14ac:dyDescent="0.3">
      <c r="A15" s="45">
        <v>14</v>
      </c>
      <c r="B15" s="35" t="s">
        <v>58</v>
      </c>
      <c r="C15" s="46">
        <v>50035523</v>
      </c>
      <c r="D15" s="35" t="s">
        <v>120</v>
      </c>
      <c r="E15" s="39"/>
    </row>
    <row r="16" spans="1:7" ht="30.6" customHeight="1" x14ac:dyDescent="0.3">
      <c r="A16" s="45">
        <v>15</v>
      </c>
      <c r="B16" s="36" t="s">
        <v>8</v>
      </c>
      <c r="C16" s="47">
        <v>50035840</v>
      </c>
      <c r="D16" s="36" t="s">
        <v>118</v>
      </c>
      <c r="E16" s="39"/>
    </row>
    <row r="17" spans="1:5" ht="31.2" customHeight="1" x14ac:dyDescent="0.3">
      <c r="A17" s="45">
        <v>16</v>
      </c>
      <c r="B17" s="34" t="s">
        <v>10</v>
      </c>
      <c r="C17" s="45">
        <v>50035842</v>
      </c>
      <c r="D17" s="34" t="s">
        <v>118</v>
      </c>
      <c r="E17" s="39"/>
    </row>
    <row r="18" spans="1:5" ht="31.2" customHeight="1" x14ac:dyDescent="0.3">
      <c r="A18" s="45">
        <v>17</v>
      </c>
      <c r="B18" s="34" t="s">
        <v>12</v>
      </c>
      <c r="C18" s="45">
        <v>50035844</v>
      </c>
      <c r="D18" s="34" t="s">
        <v>118</v>
      </c>
      <c r="E18" s="39"/>
    </row>
    <row r="19" spans="1:5" ht="30" customHeight="1" x14ac:dyDescent="0.3">
      <c r="A19" s="45">
        <v>18</v>
      </c>
      <c r="B19" s="34" t="s">
        <v>108</v>
      </c>
      <c r="C19" s="45">
        <v>50035866</v>
      </c>
      <c r="D19" s="34" t="s">
        <v>124</v>
      </c>
      <c r="E19" s="39"/>
    </row>
    <row r="20" spans="1:5" ht="30" customHeight="1" x14ac:dyDescent="0.3">
      <c r="A20" s="45">
        <v>19</v>
      </c>
      <c r="B20" s="34" t="s">
        <v>48</v>
      </c>
      <c r="C20" s="45">
        <v>50037234</v>
      </c>
      <c r="D20" s="55" t="s">
        <v>123</v>
      </c>
      <c r="E20" s="39"/>
    </row>
    <row r="21" spans="1:5" ht="30" customHeight="1" x14ac:dyDescent="0.3">
      <c r="A21" s="45">
        <v>20</v>
      </c>
      <c r="B21" s="34" t="s">
        <v>4</v>
      </c>
      <c r="C21" s="45">
        <v>50037508</v>
      </c>
      <c r="D21" s="55" t="s">
        <v>122</v>
      </c>
      <c r="E21" s="39"/>
    </row>
    <row r="22" spans="1:5" ht="30" customHeight="1" x14ac:dyDescent="0.3">
      <c r="A22" s="45">
        <v>21</v>
      </c>
      <c r="B22" s="34" t="s">
        <v>5</v>
      </c>
      <c r="C22" s="45">
        <v>50038495</v>
      </c>
      <c r="D22" s="55" t="s">
        <v>119</v>
      </c>
      <c r="E22" s="39"/>
    </row>
    <row r="23" spans="1:5" ht="30" customHeight="1" x14ac:dyDescent="0.3">
      <c r="A23" s="45">
        <v>22</v>
      </c>
      <c r="B23" s="34" t="s">
        <v>3</v>
      </c>
      <c r="C23" s="45">
        <v>50040098</v>
      </c>
      <c r="D23" s="55" t="s">
        <v>125</v>
      </c>
      <c r="E23" s="39"/>
    </row>
    <row r="24" spans="1:5" ht="30" customHeight="1" x14ac:dyDescent="0.3">
      <c r="A24" s="45">
        <v>23</v>
      </c>
      <c r="B24" s="34" t="s">
        <v>7</v>
      </c>
      <c r="C24" s="45">
        <v>70001118</v>
      </c>
      <c r="D24" s="55" t="s">
        <v>119</v>
      </c>
      <c r="E24" s="39"/>
    </row>
    <row r="25" spans="1:5" ht="30" customHeight="1" x14ac:dyDescent="0.3">
      <c r="A25" s="45">
        <v>24</v>
      </c>
      <c r="B25" s="55" t="s">
        <v>11</v>
      </c>
      <c r="C25" s="56">
        <v>70002733</v>
      </c>
      <c r="D25" s="55" t="s">
        <v>118</v>
      </c>
      <c r="E25" s="39"/>
    </row>
    <row r="26" spans="1:5" ht="30" customHeight="1" x14ac:dyDescent="0.3">
      <c r="A26" s="45">
        <v>25</v>
      </c>
      <c r="B26" s="55" t="s">
        <v>226</v>
      </c>
      <c r="C26" s="56">
        <v>50030458</v>
      </c>
      <c r="D26" s="55" t="s">
        <v>227</v>
      </c>
      <c r="E26" s="39"/>
    </row>
    <row r="27" spans="1:5" ht="30" customHeight="1" x14ac:dyDescent="0.3"/>
    <row r="28" spans="1:5" ht="30" customHeight="1" x14ac:dyDescent="0.3"/>
    <row r="29" spans="1:5" ht="30" customHeight="1" x14ac:dyDescent="0.3"/>
    <row r="30" spans="1:5" ht="30" customHeight="1" x14ac:dyDescent="0.3"/>
    <row r="31" spans="1:5" ht="30" customHeight="1" x14ac:dyDescent="0.3"/>
    <row r="32" spans="1:5" ht="30" customHeight="1" x14ac:dyDescent="0.3"/>
    <row r="33" ht="30" customHeight="1" x14ac:dyDescent="0.3"/>
    <row r="34" ht="30" customHeight="1" x14ac:dyDescent="0.3"/>
    <row r="35" ht="30" customHeight="1" x14ac:dyDescent="0.3"/>
    <row r="36" ht="30" customHeight="1" x14ac:dyDescent="0.3"/>
    <row r="37" ht="30" customHeight="1" x14ac:dyDescent="0.3"/>
    <row r="38" ht="30" customHeight="1" x14ac:dyDescent="0.3"/>
    <row r="39" ht="30" customHeight="1" x14ac:dyDescent="0.3"/>
    <row r="40" ht="30" customHeight="1" x14ac:dyDescent="0.3"/>
    <row r="41" ht="30" customHeight="1" x14ac:dyDescent="0.3"/>
    <row r="42" ht="30" customHeight="1" x14ac:dyDescent="0.3"/>
    <row r="43" ht="30" customHeight="1" x14ac:dyDescent="0.3"/>
    <row r="44" ht="30" customHeight="1" x14ac:dyDescent="0.3"/>
    <row r="45" ht="30" customHeight="1" x14ac:dyDescent="0.3"/>
    <row r="46" ht="30" customHeight="1" x14ac:dyDescent="0.3"/>
    <row r="47" ht="30" customHeight="1" x14ac:dyDescent="0.3"/>
    <row r="48" ht="30" customHeight="1" x14ac:dyDescent="0.3"/>
    <row r="49" ht="30" customHeight="1" x14ac:dyDescent="0.3"/>
    <row r="50" ht="30" customHeight="1" x14ac:dyDescent="0.3"/>
    <row r="51" ht="30" customHeight="1" x14ac:dyDescent="0.3"/>
    <row r="52" ht="30" customHeight="1" x14ac:dyDescent="0.3"/>
    <row r="53" ht="30" customHeight="1" x14ac:dyDescent="0.3"/>
    <row r="54" ht="30" customHeight="1" x14ac:dyDescent="0.3"/>
    <row r="55" ht="30" customHeight="1" x14ac:dyDescent="0.3"/>
    <row r="56" ht="30" customHeight="1" x14ac:dyDescent="0.3"/>
    <row r="57" ht="30" customHeight="1" x14ac:dyDescent="0.3"/>
    <row r="58" ht="30" customHeight="1" x14ac:dyDescent="0.3"/>
    <row r="59" ht="30" customHeight="1" x14ac:dyDescent="0.3"/>
    <row r="60" ht="30" customHeight="1" x14ac:dyDescent="0.3"/>
    <row r="61" ht="30" customHeight="1" x14ac:dyDescent="0.3"/>
    <row r="62" ht="30" customHeight="1" x14ac:dyDescent="0.3"/>
    <row r="63" ht="30" customHeight="1" x14ac:dyDescent="0.3"/>
    <row r="64" ht="30" customHeight="1" x14ac:dyDescent="0.3"/>
    <row r="65" ht="30" customHeight="1" x14ac:dyDescent="0.3"/>
    <row r="66" ht="30" customHeight="1" x14ac:dyDescent="0.3"/>
    <row r="67" ht="30" customHeight="1" x14ac:dyDescent="0.3"/>
    <row r="68" ht="30" customHeight="1" x14ac:dyDescent="0.3"/>
    <row r="69" ht="30" customHeight="1" x14ac:dyDescent="0.3"/>
    <row r="70" ht="30" customHeight="1" x14ac:dyDescent="0.3"/>
    <row r="71" ht="30" customHeight="1" x14ac:dyDescent="0.3"/>
    <row r="72" ht="30" customHeight="1" x14ac:dyDescent="0.3"/>
    <row r="73" ht="30" customHeight="1" x14ac:dyDescent="0.3"/>
    <row r="74" ht="30" customHeight="1" x14ac:dyDescent="0.3"/>
    <row r="75" ht="30" customHeight="1" x14ac:dyDescent="0.3"/>
    <row r="76" ht="30" customHeight="1" x14ac:dyDescent="0.3"/>
    <row r="77" ht="30" customHeight="1" x14ac:dyDescent="0.3"/>
    <row r="78" ht="30" customHeight="1" x14ac:dyDescent="0.3"/>
    <row r="79" ht="30" customHeight="1" x14ac:dyDescent="0.3"/>
    <row r="80" ht="30" customHeight="1" x14ac:dyDescent="0.3"/>
    <row r="81" ht="30" customHeight="1" x14ac:dyDescent="0.3"/>
    <row r="82" ht="30" customHeight="1" x14ac:dyDescent="0.3"/>
    <row r="83" ht="30" customHeight="1" x14ac:dyDescent="0.3"/>
    <row r="84" ht="30" customHeight="1" x14ac:dyDescent="0.3"/>
    <row r="85" ht="30" customHeight="1" x14ac:dyDescent="0.3"/>
    <row r="86" ht="30" customHeight="1" x14ac:dyDescent="0.3"/>
    <row r="87" ht="30" customHeight="1" x14ac:dyDescent="0.3"/>
    <row r="88" ht="30" customHeight="1" x14ac:dyDescent="0.3"/>
    <row r="89" ht="30" customHeight="1" x14ac:dyDescent="0.3"/>
    <row r="90" ht="30" customHeight="1" x14ac:dyDescent="0.3"/>
    <row r="91" ht="30" customHeight="1" x14ac:dyDescent="0.3"/>
    <row r="92" ht="30" customHeight="1" x14ac:dyDescent="0.3"/>
    <row r="93" ht="30" customHeight="1" x14ac:dyDescent="0.3"/>
    <row r="94" ht="30" customHeight="1" x14ac:dyDescent="0.3"/>
    <row r="95" ht="30" customHeight="1" x14ac:dyDescent="0.3"/>
    <row r="96" ht="30" customHeight="1" x14ac:dyDescent="0.3"/>
    <row r="97" ht="30" customHeight="1" x14ac:dyDescent="0.3"/>
    <row r="98" ht="30" customHeight="1" x14ac:dyDescent="0.3"/>
    <row r="99" ht="30" customHeight="1" x14ac:dyDescent="0.3"/>
    <row r="100" ht="30" customHeight="1" x14ac:dyDescent="0.3"/>
    <row r="101" ht="30" customHeight="1" x14ac:dyDescent="0.3"/>
    <row r="102" ht="30" customHeight="1" x14ac:dyDescent="0.3"/>
    <row r="103" ht="30" customHeight="1" x14ac:dyDescent="0.3"/>
    <row r="104" ht="30" customHeight="1" x14ac:dyDescent="0.3"/>
    <row r="105" ht="30" customHeight="1" x14ac:dyDescent="0.3"/>
    <row r="106" ht="30" customHeight="1" x14ac:dyDescent="0.3"/>
    <row r="107" ht="30" customHeight="1" x14ac:dyDescent="0.3"/>
    <row r="108" ht="30" customHeight="1" x14ac:dyDescent="0.3"/>
    <row r="109" ht="30" customHeight="1" x14ac:dyDescent="0.3"/>
    <row r="110" ht="30" customHeight="1" x14ac:dyDescent="0.3"/>
    <row r="111" ht="30" customHeight="1" x14ac:dyDescent="0.3"/>
    <row r="112" ht="30" customHeight="1" x14ac:dyDescent="0.3"/>
    <row r="113" ht="30" customHeight="1" x14ac:dyDescent="0.3"/>
    <row r="114" ht="30" customHeight="1" x14ac:dyDescent="0.3"/>
    <row r="115" ht="30" customHeight="1" x14ac:dyDescent="0.3"/>
    <row r="116" ht="30" customHeight="1" x14ac:dyDescent="0.3"/>
    <row r="117" ht="30" customHeight="1" x14ac:dyDescent="0.3"/>
    <row r="118" ht="30" customHeight="1" x14ac:dyDescent="0.3"/>
    <row r="119" ht="30" customHeight="1" x14ac:dyDescent="0.3"/>
    <row r="120" ht="30" customHeight="1" x14ac:dyDescent="0.3"/>
    <row r="121" ht="30" customHeight="1" x14ac:dyDescent="0.3"/>
    <row r="122" ht="30" customHeight="1" x14ac:dyDescent="0.3"/>
    <row r="123" ht="30" customHeight="1" x14ac:dyDescent="0.3"/>
    <row r="124" ht="30" customHeight="1" x14ac:dyDescent="0.3"/>
    <row r="125" ht="30" customHeight="1" x14ac:dyDescent="0.3"/>
    <row r="126" ht="30" customHeight="1" x14ac:dyDescent="0.3"/>
    <row r="127" ht="30" customHeight="1" x14ac:dyDescent="0.3"/>
    <row r="128" ht="30" customHeight="1" x14ac:dyDescent="0.3"/>
    <row r="129" ht="30" customHeight="1" x14ac:dyDescent="0.3"/>
    <row r="130" ht="30" customHeight="1" x14ac:dyDescent="0.3"/>
    <row r="131" ht="30" customHeight="1" x14ac:dyDescent="0.3"/>
    <row r="132" ht="30" customHeight="1" x14ac:dyDescent="0.3"/>
    <row r="133" ht="30" customHeight="1" x14ac:dyDescent="0.3"/>
    <row r="134" ht="30" customHeight="1" x14ac:dyDescent="0.3"/>
    <row r="135" ht="30" customHeight="1" x14ac:dyDescent="0.3"/>
    <row r="136" ht="30" customHeight="1" x14ac:dyDescent="0.3"/>
    <row r="137" ht="30" customHeight="1" x14ac:dyDescent="0.3"/>
    <row r="138" ht="30" customHeight="1" x14ac:dyDescent="0.3"/>
    <row r="139" ht="30" customHeight="1" x14ac:dyDescent="0.3"/>
    <row r="140" ht="30" customHeight="1" x14ac:dyDescent="0.3"/>
    <row r="141" ht="30" customHeight="1" x14ac:dyDescent="0.3"/>
    <row r="142" ht="30" customHeight="1" x14ac:dyDescent="0.3"/>
    <row r="143" ht="30" customHeight="1" x14ac:dyDescent="0.3"/>
    <row r="144" ht="30" customHeight="1" x14ac:dyDescent="0.3"/>
    <row r="145" ht="30" customHeight="1" x14ac:dyDescent="0.3"/>
    <row r="146" ht="30" customHeight="1" x14ac:dyDescent="0.3"/>
    <row r="147" ht="30" customHeight="1" x14ac:dyDescent="0.3"/>
    <row r="148" ht="30" customHeight="1" x14ac:dyDescent="0.3"/>
    <row r="149" ht="30" customHeight="1" x14ac:dyDescent="0.3"/>
    <row r="150" ht="30" customHeight="1" x14ac:dyDescent="0.3"/>
    <row r="151" ht="30" customHeight="1" x14ac:dyDescent="0.3"/>
    <row r="152" ht="30" customHeight="1" x14ac:dyDescent="0.3"/>
    <row r="153" ht="30" customHeight="1" x14ac:dyDescent="0.3"/>
    <row r="154" ht="30" customHeight="1" x14ac:dyDescent="0.3"/>
    <row r="155" ht="30" customHeight="1" x14ac:dyDescent="0.3"/>
    <row r="156" ht="30" customHeight="1" x14ac:dyDescent="0.3"/>
    <row r="157" ht="30" customHeight="1" x14ac:dyDescent="0.3"/>
    <row r="158" ht="30" customHeight="1" x14ac:dyDescent="0.3"/>
    <row r="159" ht="30" customHeight="1" x14ac:dyDescent="0.3"/>
    <row r="160" ht="30" customHeight="1" x14ac:dyDescent="0.3"/>
    <row r="161" ht="30" customHeight="1" x14ac:dyDescent="0.3"/>
    <row r="162" ht="30" customHeight="1" x14ac:dyDescent="0.3"/>
    <row r="163" ht="30" customHeight="1" x14ac:dyDescent="0.3"/>
    <row r="164" ht="30" customHeight="1" x14ac:dyDescent="0.3"/>
    <row r="165" ht="30" customHeight="1" x14ac:dyDescent="0.3"/>
    <row r="166" ht="30" customHeight="1" x14ac:dyDescent="0.3"/>
    <row r="167" ht="30" customHeight="1" x14ac:dyDescent="0.3"/>
    <row r="168" ht="30" customHeight="1" x14ac:dyDescent="0.3"/>
    <row r="169" ht="30" customHeight="1" x14ac:dyDescent="0.3"/>
    <row r="170" ht="30" customHeight="1" x14ac:dyDescent="0.3"/>
    <row r="171" ht="30" customHeight="1" x14ac:dyDescent="0.3"/>
    <row r="172" ht="30" customHeight="1" x14ac:dyDescent="0.3"/>
    <row r="173" ht="30" customHeight="1" x14ac:dyDescent="0.3"/>
    <row r="174" ht="30" customHeight="1" x14ac:dyDescent="0.3"/>
    <row r="175" ht="30" customHeight="1" x14ac:dyDescent="0.3"/>
    <row r="176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  <row r="202" ht="30" customHeight="1" x14ac:dyDescent="0.3"/>
    <row r="203" ht="30" customHeight="1" x14ac:dyDescent="0.3"/>
    <row r="204" ht="30" customHeight="1" x14ac:dyDescent="0.3"/>
    <row r="205" ht="30" customHeight="1" x14ac:dyDescent="0.3"/>
    <row r="206" ht="30" customHeight="1" x14ac:dyDescent="0.3"/>
    <row r="207" ht="30" customHeight="1" x14ac:dyDescent="0.3"/>
    <row r="208" ht="30" customHeight="1" x14ac:dyDescent="0.3"/>
    <row r="209" ht="30" customHeight="1" x14ac:dyDescent="0.3"/>
    <row r="210" ht="30" customHeight="1" x14ac:dyDescent="0.3"/>
    <row r="211" ht="30" customHeight="1" x14ac:dyDescent="0.3"/>
    <row r="212" ht="30" customHeight="1" x14ac:dyDescent="0.3"/>
    <row r="213" ht="30" customHeight="1" x14ac:dyDescent="0.3"/>
    <row r="214" ht="30" customHeight="1" x14ac:dyDescent="0.3"/>
    <row r="215" ht="30" customHeight="1" x14ac:dyDescent="0.3"/>
    <row r="216" ht="30" customHeight="1" x14ac:dyDescent="0.3"/>
    <row r="217" ht="30" customHeight="1" x14ac:dyDescent="0.3"/>
    <row r="218" ht="30" customHeight="1" x14ac:dyDescent="0.3"/>
    <row r="219" ht="30" customHeight="1" x14ac:dyDescent="0.3"/>
    <row r="220" ht="30" customHeight="1" x14ac:dyDescent="0.3"/>
    <row r="221" ht="30" customHeight="1" x14ac:dyDescent="0.3"/>
    <row r="222" ht="30" customHeight="1" x14ac:dyDescent="0.3"/>
    <row r="223" ht="30" customHeight="1" x14ac:dyDescent="0.3"/>
    <row r="224" ht="30" customHeight="1" x14ac:dyDescent="0.3"/>
    <row r="225" ht="30" customHeight="1" x14ac:dyDescent="0.3"/>
    <row r="226" ht="30" customHeight="1" x14ac:dyDescent="0.3"/>
    <row r="227" ht="30" customHeight="1" x14ac:dyDescent="0.3"/>
    <row r="228" ht="30" customHeight="1" x14ac:dyDescent="0.3"/>
    <row r="229" ht="30" customHeight="1" x14ac:dyDescent="0.3"/>
    <row r="230" ht="30" customHeight="1" x14ac:dyDescent="0.3"/>
    <row r="231" ht="30" customHeight="1" x14ac:dyDescent="0.3"/>
    <row r="232" ht="30" customHeight="1" x14ac:dyDescent="0.3"/>
    <row r="233" ht="30" customHeight="1" x14ac:dyDescent="0.3"/>
    <row r="234" ht="30" customHeight="1" x14ac:dyDescent="0.3"/>
    <row r="235" ht="30" customHeight="1" x14ac:dyDescent="0.3"/>
    <row r="236" ht="30" customHeight="1" x14ac:dyDescent="0.3"/>
    <row r="237" ht="30" customHeight="1" x14ac:dyDescent="0.3"/>
    <row r="238" ht="30" customHeight="1" x14ac:dyDescent="0.3"/>
    <row r="239" ht="30" customHeight="1" x14ac:dyDescent="0.3"/>
    <row r="240" ht="30" customHeight="1" x14ac:dyDescent="0.3"/>
    <row r="241" ht="30" customHeight="1" x14ac:dyDescent="0.3"/>
    <row r="242" ht="30" customHeight="1" x14ac:dyDescent="0.3"/>
    <row r="243" ht="30" customHeight="1" x14ac:dyDescent="0.3"/>
    <row r="244" ht="30" customHeight="1" x14ac:dyDescent="0.3"/>
    <row r="245" ht="30" customHeight="1" x14ac:dyDescent="0.3"/>
    <row r="246" ht="30" customHeight="1" x14ac:dyDescent="0.3"/>
    <row r="247" ht="30" customHeight="1" x14ac:dyDescent="0.3"/>
    <row r="248" ht="30" customHeight="1" x14ac:dyDescent="0.3"/>
    <row r="249" ht="30" customHeight="1" x14ac:dyDescent="0.3"/>
    <row r="250" ht="30" customHeight="1" x14ac:dyDescent="0.3"/>
    <row r="251" ht="30" customHeight="1" x14ac:dyDescent="0.3"/>
    <row r="252" ht="30" customHeight="1" x14ac:dyDescent="0.3"/>
    <row r="253" ht="30" customHeight="1" x14ac:dyDescent="0.3"/>
    <row r="254" ht="30" customHeight="1" x14ac:dyDescent="0.3"/>
    <row r="255" ht="30" customHeight="1" x14ac:dyDescent="0.3"/>
    <row r="256" ht="30" customHeight="1" x14ac:dyDescent="0.3"/>
    <row r="257" ht="30" customHeight="1" x14ac:dyDescent="0.3"/>
    <row r="258" ht="30" customHeight="1" x14ac:dyDescent="0.3"/>
    <row r="259" ht="30" customHeight="1" x14ac:dyDescent="0.3"/>
    <row r="260" ht="30" customHeight="1" x14ac:dyDescent="0.3"/>
    <row r="261" ht="30" customHeight="1" x14ac:dyDescent="0.3"/>
    <row r="262" ht="30" customHeight="1" x14ac:dyDescent="0.3"/>
    <row r="263" ht="30" customHeight="1" x14ac:dyDescent="0.3"/>
    <row r="264" ht="30" customHeight="1" x14ac:dyDescent="0.3"/>
    <row r="265" ht="30" customHeight="1" x14ac:dyDescent="0.3"/>
    <row r="266" ht="30" customHeight="1" x14ac:dyDescent="0.3"/>
    <row r="267" ht="30" customHeight="1" x14ac:dyDescent="0.3"/>
    <row r="268" ht="30" customHeight="1" x14ac:dyDescent="0.3"/>
    <row r="269" ht="30" customHeight="1" x14ac:dyDescent="0.3"/>
    <row r="270" ht="30" customHeight="1" x14ac:dyDescent="0.3"/>
    <row r="271" ht="30" customHeight="1" x14ac:dyDescent="0.3"/>
    <row r="272" ht="30" customHeight="1" x14ac:dyDescent="0.3"/>
    <row r="273" ht="30" customHeight="1" x14ac:dyDescent="0.3"/>
    <row r="274" ht="30" customHeight="1" x14ac:dyDescent="0.3"/>
    <row r="275" ht="30" customHeight="1" x14ac:dyDescent="0.3"/>
    <row r="276" ht="30" customHeight="1" x14ac:dyDescent="0.3"/>
    <row r="277" ht="30" customHeight="1" x14ac:dyDescent="0.3"/>
    <row r="278" ht="30" customHeight="1" x14ac:dyDescent="0.3"/>
    <row r="279" ht="30" customHeight="1" x14ac:dyDescent="0.3"/>
    <row r="280" ht="30" customHeight="1" x14ac:dyDescent="0.3"/>
    <row r="281" ht="30" customHeight="1" x14ac:dyDescent="0.3"/>
    <row r="282" ht="30" customHeight="1" x14ac:dyDescent="0.3"/>
    <row r="283" ht="30" customHeight="1" x14ac:dyDescent="0.3"/>
    <row r="284" ht="30" customHeight="1" x14ac:dyDescent="0.3"/>
    <row r="285" ht="30" customHeight="1" x14ac:dyDescent="0.3"/>
    <row r="286" ht="30" customHeight="1" x14ac:dyDescent="0.3"/>
    <row r="287" ht="30" customHeight="1" x14ac:dyDescent="0.3"/>
    <row r="288" ht="30" customHeight="1" x14ac:dyDescent="0.3"/>
    <row r="289" ht="30" customHeight="1" x14ac:dyDescent="0.3"/>
    <row r="290" ht="30" customHeight="1" x14ac:dyDescent="0.3"/>
    <row r="291" ht="30" customHeight="1" x14ac:dyDescent="0.3"/>
    <row r="292" ht="30" customHeight="1" x14ac:dyDescent="0.3"/>
    <row r="293" ht="30" customHeight="1" x14ac:dyDescent="0.3"/>
    <row r="294" ht="30" customHeight="1" x14ac:dyDescent="0.3"/>
    <row r="295" ht="30" customHeight="1" x14ac:dyDescent="0.3"/>
    <row r="296" ht="30" customHeight="1" x14ac:dyDescent="0.3"/>
    <row r="297" ht="30" customHeight="1" x14ac:dyDescent="0.3"/>
    <row r="298" ht="30" customHeight="1" x14ac:dyDescent="0.3"/>
    <row r="299" ht="30" customHeight="1" x14ac:dyDescent="0.3"/>
    <row r="300" ht="30" customHeight="1" x14ac:dyDescent="0.3"/>
    <row r="301" ht="30" customHeight="1" x14ac:dyDescent="0.3"/>
    <row r="302" ht="30" customHeight="1" x14ac:dyDescent="0.3"/>
    <row r="303" ht="30" customHeight="1" x14ac:dyDescent="0.3"/>
    <row r="304" ht="30" customHeight="1" x14ac:dyDescent="0.3"/>
    <row r="305" ht="30" customHeight="1" x14ac:dyDescent="0.3"/>
    <row r="306" ht="30" customHeight="1" x14ac:dyDescent="0.3"/>
    <row r="307" ht="30" customHeight="1" x14ac:dyDescent="0.3"/>
    <row r="308" ht="30" customHeight="1" x14ac:dyDescent="0.3"/>
    <row r="309" ht="30" customHeight="1" x14ac:dyDescent="0.3"/>
    <row r="310" ht="30" customHeight="1" x14ac:dyDescent="0.3"/>
    <row r="311" ht="30" customHeight="1" x14ac:dyDescent="0.3"/>
    <row r="312" ht="30" customHeight="1" x14ac:dyDescent="0.3"/>
    <row r="313" ht="30" customHeight="1" x14ac:dyDescent="0.3"/>
    <row r="314" ht="30" customHeight="1" x14ac:dyDescent="0.3"/>
    <row r="315" ht="30" customHeight="1" x14ac:dyDescent="0.3"/>
    <row r="316" ht="30" customHeight="1" x14ac:dyDescent="0.3"/>
    <row r="317" ht="30" customHeight="1" x14ac:dyDescent="0.3"/>
    <row r="318" ht="30" customHeight="1" x14ac:dyDescent="0.3"/>
  </sheetData>
  <sheetProtection selectLockedCells="1"/>
  <sortState ref="E2:E25">
    <sortCondition ref="E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Go_to_calculation">
                <anchor moveWithCells="1">
                  <from>
                    <xdr:col>4</xdr:col>
                    <xdr:colOff>754380</xdr:colOff>
                    <xdr:row>11</xdr:row>
                    <xdr:rowOff>381000</xdr:rowOff>
                  </from>
                  <to>
                    <xdr:col>4</xdr:col>
                    <xdr:colOff>1912620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Go_to_setting">
                <anchor moveWithCells="1" sizeWithCells="1">
                  <from>
                    <xdr:col>4</xdr:col>
                    <xdr:colOff>2026920</xdr:colOff>
                    <xdr:row>11</xdr:row>
                    <xdr:rowOff>381000</xdr:rowOff>
                  </from>
                  <to>
                    <xdr:col>4</xdr:col>
                    <xdr:colOff>3177540</xdr:colOff>
                    <xdr:row>13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theme="9" tint="0.59999389629810485"/>
  </sheetPr>
  <dimension ref="A1:AJ32"/>
  <sheetViews>
    <sheetView topLeftCell="A3" zoomScale="80" zoomScaleNormal="80" workbookViewId="0">
      <selection activeCell="R14" sqref="R14"/>
    </sheetView>
  </sheetViews>
  <sheetFormatPr defaultColWidth="9.109375" defaultRowHeight="13.8" x14ac:dyDescent="0.25"/>
  <cols>
    <col min="1" max="1" width="4.5546875" style="4" customWidth="1"/>
    <col min="2" max="4" width="11.33203125" style="5" customWidth="1"/>
    <col min="5" max="5" width="17" style="5" customWidth="1"/>
    <col min="6" max="7" width="13.44140625" style="5" customWidth="1"/>
    <col min="8" max="8" width="17" style="5" customWidth="1"/>
    <col min="9" max="9" width="7" style="5" customWidth="1"/>
    <col min="10" max="10" width="63.77734375" style="5" customWidth="1"/>
    <col min="11" max="12" width="18.109375" style="5" customWidth="1"/>
    <col min="13" max="13" width="9.33203125" style="5" bestFit="1" customWidth="1"/>
    <col min="14" max="14" width="9.109375" style="5"/>
    <col min="15" max="22" width="13.88671875" style="5" customWidth="1"/>
    <col min="23" max="23" width="12.5546875" style="5" customWidth="1"/>
    <col min="24" max="32" width="9.109375" style="5"/>
    <col min="33" max="34" width="0" style="64" hidden="1" customWidth="1"/>
    <col min="35" max="36" width="9.109375" style="64"/>
    <col min="37" max="16384" width="9.109375" style="5"/>
  </cols>
  <sheetData>
    <row r="1" spans="1:36" ht="14.4" thickBot="1" x14ac:dyDescent="0.3">
      <c r="AH1" s="124" t="str">
        <f>LEFT(D3,2)&amp;" "&amp;VLOOKUP(RIGHT(RIGHT(LEFT(D3,5),2),2),'База даних'!F1:G12,2)&amp;" "&amp;RIGHT(D3,4)&amp;" р."</f>
        <v>04 листопада 2022 р.</v>
      </c>
    </row>
    <row r="2" spans="1:36" s="3" customFormat="1" ht="33.75" customHeight="1" x14ac:dyDescent="0.3">
      <c r="A2" s="2"/>
      <c r="B2" s="156" t="s">
        <v>15</v>
      </c>
      <c r="C2" s="157"/>
      <c r="D2" s="167" t="s">
        <v>231</v>
      </c>
      <c r="E2" s="168"/>
      <c r="F2" s="159" t="s">
        <v>43</v>
      </c>
      <c r="G2" s="160"/>
      <c r="H2" s="15" t="s">
        <v>233</v>
      </c>
      <c r="J2" s="32" t="s">
        <v>102</v>
      </c>
      <c r="AG2" s="63"/>
      <c r="AH2" s="124" t="str">
        <f>LEFT(H2,2)&amp;" "&amp;VLOOKUP(RIGHT(RIGHT(LEFT(H2,5),2),2),'База даних'!F2:G13,2)&amp;" "&amp;RIGHT(H2,4)&amp;" р."</f>
        <v>07 листопада 2022 р.</v>
      </c>
      <c r="AI2" s="63"/>
      <c r="AJ2" s="63"/>
    </row>
    <row r="3" spans="1:36" s="3" customFormat="1" ht="33.75" customHeight="1" thickBot="1" x14ac:dyDescent="0.35">
      <c r="A3" s="2"/>
      <c r="B3" s="165" t="s">
        <v>16</v>
      </c>
      <c r="C3" s="166"/>
      <c r="D3" s="169" t="s">
        <v>232</v>
      </c>
      <c r="E3" s="170"/>
      <c r="F3" s="161" t="s">
        <v>44</v>
      </c>
      <c r="G3" s="162"/>
      <c r="H3" s="16" t="s">
        <v>234</v>
      </c>
      <c r="J3" s="33" t="s">
        <v>3</v>
      </c>
      <c r="AG3" s="63"/>
      <c r="AH3" s="124" t="str">
        <f>LEFT(H3,2)&amp;" "&amp;VLOOKUP(RIGHT(RIGHT(LEFT(H3,5),2),2),'База даних'!F2:G13,2)&amp;" "&amp;RIGHT(H3,4)&amp;" р."</f>
        <v>11 листопада 2022 р.</v>
      </c>
      <c r="AI3" s="63"/>
      <c r="AJ3" s="63"/>
    </row>
    <row r="4" spans="1:36" s="3" customFormat="1" ht="33.75" customHeight="1" x14ac:dyDescent="0.3">
      <c r="A4" s="2"/>
      <c r="B4" s="156" t="s">
        <v>45</v>
      </c>
      <c r="C4" s="157"/>
      <c r="D4" s="149">
        <v>600</v>
      </c>
      <c r="E4" s="150"/>
      <c r="F4" s="159" t="s">
        <v>47</v>
      </c>
      <c r="G4" s="160"/>
      <c r="H4" s="9">
        <v>5</v>
      </c>
      <c r="AG4" s="63"/>
      <c r="AH4" s="63" t="str">
        <f>LEFT(RIGHT(TRIM(J3),LEN(J3)-FIND(" ",J3,1)),FIND(" ",RIGHT(TRIM(J3),LEN(J3)-FIND(" ",J3,1)),1))&amp;UPPER(LEFT(J3,FIND(" ",J3,1)))</f>
        <v xml:space="preserve">Андрій БЕЧКАЛО </v>
      </c>
      <c r="AI4" s="63"/>
      <c r="AJ4" s="63"/>
    </row>
    <row r="5" spans="1:36" s="3" customFormat="1" ht="33.75" customHeight="1" x14ac:dyDescent="0.3">
      <c r="A5" s="2"/>
      <c r="B5" s="158" t="s">
        <v>46</v>
      </c>
      <c r="C5" s="154"/>
      <c r="D5" s="151">
        <v>0</v>
      </c>
      <c r="E5" s="152"/>
      <c r="F5" s="163" t="s">
        <v>54</v>
      </c>
      <c r="G5" s="164"/>
      <c r="H5" s="10">
        <v>0</v>
      </c>
      <c r="J5" s="32" t="s">
        <v>126</v>
      </c>
      <c r="AG5" s="63"/>
      <c r="AH5" s="63"/>
      <c r="AI5" s="63"/>
      <c r="AJ5" s="63"/>
    </row>
    <row r="6" spans="1:36" s="3" customFormat="1" ht="33.75" customHeight="1" thickBot="1" x14ac:dyDescent="0.35">
      <c r="A6" s="2"/>
      <c r="B6" s="165" t="s">
        <v>55</v>
      </c>
      <c r="C6" s="166"/>
      <c r="D6" s="172">
        <v>0</v>
      </c>
      <c r="E6" s="173"/>
      <c r="F6" s="161" t="s">
        <v>56</v>
      </c>
      <c r="G6" s="162"/>
      <c r="H6" s="11">
        <v>0</v>
      </c>
      <c r="J6" s="33" t="s">
        <v>235</v>
      </c>
      <c r="AG6" s="63"/>
      <c r="AH6" s="63"/>
      <c r="AI6" s="63"/>
      <c r="AJ6" s="63"/>
    </row>
    <row r="7" spans="1:36" s="3" customFormat="1" ht="33.75" customHeight="1" x14ac:dyDescent="0.3">
      <c r="A7" s="2"/>
      <c r="B7" s="174" t="s">
        <v>51</v>
      </c>
      <c r="C7" s="175"/>
      <c r="D7" s="175"/>
      <c r="E7" s="12">
        <v>0</v>
      </c>
      <c r="F7" s="2"/>
      <c r="G7" s="2"/>
      <c r="H7" s="2"/>
      <c r="I7" s="2"/>
      <c r="AG7" s="63"/>
      <c r="AH7" s="63"/>
      <c r="AI7" s="63"/>
      <c r="AJ7" s="63"/>
    </row>
    <row r="8" spans="1:36" s="3" customFormat="1" ht="33.75" customHeight="1" thickBot="1" x14ac:dyDescent="0.35">
      <c r="A8" s="2"/>
      <c r="B8" s="137" t="s">
        <v>52</v>
      </c>
      <c r="C8" s="138"/>
      <c r="D8" s="138"/>
      <c r="E8" s="13">
        <v>0</v>
      </c>
      <c r="F8" s="2"/>
      <c r="G8" s="2"/>
      <c r="H8" s="2"/>
      <c r="I8" s="2"/>
      <c r="AG8" s="63"/>
      <c r="AH8" s="63"/>
      <c r="AI8" s="63"/>
      <c r="AJ8" s="63"/>
    </row>
    <row r="9" spans="1:36" s="3" customFormat="1" ht="33.75" customHeight="1" thickBot="1" x14ac:dyDescent="0.35">
      <c r="A9" s="2"/>
      <c r="B9" s="139" t="s">
        <v>53</v>
      </c>
      <c r="C9" s="140"/>
      <c r="D9" s="141">
        <f>dobovi*dob_days+projiv*proj_days+proizd*proiz_days+for_car+other</f>
        <v>3000</v>
      </c>
      <c r="E9" s="142"/>
      <c r="F9" s="2"/>
      <c r="G9" s="2"/>
      <c r="H9" s="2"/>
      <c r="I9" s="2"/>
      <c r="M9" s="2"/>
      <c r="O9" s="2"/>
      <c r="P9" s="2"/>
      <c r="Q9" s="2"/>
      <c r="R9" s="2"/>
      <c r="S9" s="2"/>
      <c r="T9" s="2"/>
      <c r="U9" s="2"/>
      <c r="V9" s="2"/>
      <c r="W9" s="2"/>
      <c r="AG9" s="63"/>
      <c r="AH9" s="63"/>
      <c r="AI9" s="63"/>
      <c r="AJ9" s="63"/>
    </row>
    <row r="10" spans="1:36" s="3" customFormat="1" ht="33.75" customHeight="1" x14ac:dyDescent="0.3">
      <c r="A10" s="6" t="s">
        <v>18</v>
      </c>
      <c r="B10" s="171" t="s">
        <v>17</v>
      </c>
      <c r="C10" s="171"/>
      <c r="D10" s="171"/>
      <c r="E10" s="153" t="s">
        <v>103</v>
      </c>
      <c r="F10" s="154"/>
      <c r="G10" s="154"/>
      <c r="H10" s="154"/>
      <c r="I10" s="154"/>
      <c r="J10" s="7" t="s">
        <v>104</v>
      </c>
      <c r="K10" s="7" t="s">
        <v>60</v>
      </c>
      <c r="L10" s="7" t="s">
        <v>61</v>
      </c>
      <c r="O10" s="7" t="s">
        <v>45</v>
      </c>
      <c r="P10" s="7" t="s">
        <v>47</v>
      </c>
      <c r="Q10" s="7" t="s">
        <v>46</v>
      </c>
      <c r="R10" s="118" t="s">
        <v>54</v>
      </c>
      <c r="S10" s="118" t="s">
        <v>55</v>
      </c>
      <c r="T10" s="118" t="s">
        <v>56</v>
      </c>
      <c r="U10" s="118" t="s">
        <v>215</v>
      </c>
      <c r="V10" s="118" t="s">
        <v>167</v>
      </c>
      <c r="W10" s="119" t="s">
        <v>53</v>
      </c>
      <c r="AG10" s="63"/>
      <c r="AH10" s="63"/>
      <c r="AI10" s="63"/>
      <c r="AJ10" s="63"/>
    </row>
    <row r="11" spans="1:36" s="3" customFormat="1" ht="64.2" customHeight="1" x14ac:dyDescent="0.3">
      <c r="A11" s="6">
        <v>1</v>
      </c>
      <c r="B11" s="155" t="s">
        <v>4</v>
      </c>
      <c r="C11" s="155"/>
      <c r="D11" s="155"/>
      <c r="E11" s="148" t="s">
        <v>236</v>
      </c>
      <c r="F11" s="148"/>
      <c r="G11" s="148"/>
      <c r="H11" s="148"/>
      <c r="I11" s="148"/>
      <c r="J11" s="17" t="s">
        <v>237</v>
      </c>
      <c r="K11" s="8" t="s">
        <v>64</v>
      </c>
      <c r="L11" s="8" t="s">
        <v>238</v>
      </c>
      <c r="M11" s="3" t="b">
        <v>1</v>
      </c>
      <c r="O11" s="120"/>
      <c r="P11" s="123"/>
      <c r="Q11" s="120">
        <v>1200</v>
      </c>
      <c r="R11" s="120">
        <v>4</v>
      </c>
      <c r="S11" s="120"/>
      <c r="T11" s="120"/>
      <c r="U11" s="120"/>
      <c r="V11" s="120"/>
      <c r="W11" s="120">
        <f t="shared" ref="W11:W31" si="0">IF($M11=TRUE,total_sum+O11*P11+Q11*R11+S11*T11+U11+V11,"")</f>
        <v>7800</v>
      </c>
      <c r="AG11" s="63" t="str">
        <f>VLOOKUP(B11,Відмінки!$A$1:$I$100,9,0)</f>
        <v>Гануву Володимиру Андрійовичу</v>
      </c>
      <c r="AH11" s="63" t="str">
        <f>LEFT(RIGHT(TRIM(B11),LEN(B11)-FIND(" ",B11,1)),FIND(" ",RIGHT(TRIM(B11),LEN(B11)-FIND(" ",B11,1)),1))&amp;UPPER(LEFT(B11,FIND(" ",B11,1)))</f>
        <v xml:space="preserve">Володимир ГАНУВ </v>
      </c>
      <c r="AI11" s="63"/>
      <c r="AJ11" s="63"/>
    </row>
    <row r="12" spans="1:36" s="3" customFormat="1" ht="64.2" customHeight="1" x14ac:dyDescent="0.3">
      <c r="A12" s="6">
        <v>2</v>
      </c>
      <c r="B12" s="155" t="s">
        <v>12</v>
      </c>
      <c r="C12" s="155"/>
      <c r="D12" s="155"/>
      <c r="E12" s="148" t="s">
        <v>236</v>
      </c>
      <c r="F12" s="148"/>
      <c r="G12" s="148"/>
      <c r="H12" s="148"/>
      <c r="I12" s="148"/>
      <c r="J12" s="136" t="s">
        <v>237</v>
      </c>
      <c r="K12" s="44"/>
      <c r="L12" s="31"/>
      <c r="M12" s="3" t="b">
        <v>1</v>
      </c>
      <c r="O12" s="120"/>
      <c r="P12" s="120"/>
      <c r="Q12" s="120">
        <v>900</v>
      </c>
      <c r="R12" s="120">
        <v>4</v>
      </c>
      <c r="S12" s="120"/>
      <c r="T12" s="120"/>
      <c r="U12" s="120"/>
      <c r="V12" s="120"/>
      <c r="W12" s="120">
        <f t="shared" si="0"/>
        <v>6600</v>
      </c>
      <c r="AG12" s="63" t="str">
        <f>VLOOKUP(B12,Відмінки!$A$1:$I$100,9,0)</f>
        <v>Дворніку Анатолію Олександровичу</v>
      </c>
      <c r="AH12" s="63" t="str">
        <f>LEFT(RIGHT(TRIM(B12),LEN(B12)-FIND(" ",B12,1)),FIND(" ",RIGHT(TRIM(B12),LEN(B12)-FIND(" ",B12,1)),1))&amp;UPPER(LEFT(B12,FIND(" ",B12,1)))</f>
        <v xml:space="preserve">Анатолій ДВОРНІК </v>
      </c>
      <c r="AI12" s="63"/>
      <c r="AJ12" s="63"/>
    </row>
    <row r="13" spans="1:36" s="3" customFormat="1" ht="64.2" customHeight="1" x14ac:dyDescent="0.3">
      <c r="A13" s="6">
        <v>3</v>
      </c>
      <c r="B13" s="155" t="s">
        <v>10</v>
      </c>
      <c r="C13" s="155"/>
      <c r="D13" s="155"/>
      <c r="E13" s="148" t="s">
        <v>236</v>
      </c>
      <c r="F13" s="148"/>
      <c r="G13" s="148"/>
      <c r="H13" s="148"/>
      <c r="I13" s="148"/>
      <c r="J13" s="136" t="s">
        <v>237</v>
      </c>
      <c r="K13" s="44"/>
      <c r="L13" s="8"/>
      <c r="M13" s="3" t="b">
        <v>1</v>
      </c>
      <c r="O13" s="120"/>
      <c r="P13" s="120"/>
      <c r="Q13" s="120">
        <v>900</v>
      </c>
      <c r="R13" s="120">
        <v>4</v>
      </c>
      <c r="S13" s="120"/>
      <c r="T13" s="120"/>
      <c r="U13" s="120"/>
      <c r="V13" s="120"/>
      <c r="W13" s="120">
        <f t="shared" si="0"/>
        <v>6600</v>
      </c>
      <c r="AG13" s="63" t="str">
        <f>VLOOKUP(B13,Відмінки!$A$1:$I$100,9,0)</f>
        <v>Деде Анатолію Дмитровичу</v>
      </c>
      <c r="AH13" s="63" t="str">
        <f t="shared" ref="AH13:AH31" si="1">LEFT(RIGHT(TRIM(B13),LEN(B13)-FIND(" ",B13,1)),FIND(" ",RIGHT(TRIM(B13),LEN(B13)-FIND(" ",B13,1)),1))&amp;UPPER(LEFT(B13,FIND(" ",B13,1)))</f>
        <v xml:space="preserve">Анатолій ДЕДЕ </v>
      </c>
      <c r="AI13" s="63"/>
      <c r="AJ13" s="63"/>
    </row>
    <row r="14" spans="1:36" s="3" customFormat="1" ht="64.2" customHeight="1" x14ac:dyDescent="0.3">
      <c r="A14" s="6">
        <v>4</v>
      </c>
      <c r="B14" s="155"/>
      <c r="C14" s="155"/>
      <c r="D14" s="155"/>
      <c r="E14" s="148"/>
      <c r="F14" s="148"/>
      <c r="G14" s="148"/>
      <c r="H14" s="148"/>
      <c r="I14" s="148"/>
      <c r="J14" s="17"/>
      <c r="K14" s="44"/>
      <c r="L14" s="135"/>
      <c r="M14" s="3" t="b">
        <v>0</v>
      </c>
      <c r="O14" s="120"/>
      <c r="P14" s="120"/>
      <c r="Q14" s="120"/>
      <c r="R14" s="120"/>
      <c r="S14" s="120"/>
      <c r="T14" s="120"/>
      <c r="U14" s="120"/>
      <c r="V14" s="120"/>
      <c r="W14" s="120" t="str">
        <f t="shared" si="0"/>
        <v/>
      </c>
      <c r="AG14" s="63" t="e">
        <f>VLOOKUP(B14,Відмінки!$A$1:$I$100,9,0)</f>
        <v>#VALUE!</v>
      </c>
      <c r="AH14" s="63" t="e">
        <f t="shared" si="1"/>
        <v>#VALUE!</v>
      </c>
      <c r="AI14" s="63"/>
      <c r="AJ14" s="63"/>
    </row>
    <row r="15" spans="1:36" s="3" customFormat="1" ht="64.2" customHeight="1" x14ac:dyDescent="0.3">
      <c r="A15" s="6">
        <v>5</v>
      </c>
      <c r="B15" s="155"/>
      <c r="C15" s="155"/>
      <c r="D15" s="155"/>
      <c r="E15" s="148"/>
      <c r="F15" s="148"/>
      <c r="G15" s="148"/>
      <c r="H15" s="148"/>
      <c r="I15" s="148"/>
      <c r="J15" s="17"/>
      <c r="K15" s="44"/>
      <c r="L15" s="14"/>
      <c r="M15" s="3" t="b">
        <v>0</v>
      </c>
      <c r="O15" s="120"/>
      <c r="P15" s="120"/>
      <c r="Q15" s="120"/>
      <c r="R15" s="120"/>
      <c r="S15" s="120"/>
      <c r="T15" s="120"/>
      <c r="U15" s="120"/>
      <c r="V15" s="120"/>
      <c r="W15" s="120" t="str">
        <f t="shared" si="0"/>
        <v/>
      </c>
      <c r="AG15" s="63" t="e">
        <f>VLOOKUP(B15,Відмінки!$A$1:$I$100,9,0)</f>
        <v>#VALUE!</v>
      </c>
      <c r="AH15" s="63" t="e">
        <f t="shared" si="1"/>
        <v>#VALUE!</v>
      </c>
      <c r="AI15" s="63"/>
      <c r="AJ15" s="63"/>
    </row>
    <row r="16" spans="1:36" s="3" customFormat="1" ht="64.2" customHeight="1" x14ac:dyDescent="0.3">
      <c r="A16" s="6">
        <v>6</v>
      </c>
      <c r="B16" s="155"/>
      <c r="C16" s="155"/>
      <c r="D16" s="155"/>
      <c r="E16" s="148"/>
      <c r="F16" s="148"/>
      <c r="G16" s="148"/>
      <c r="H16" s="148"/>
      <c r="I16" s="148"/>
      <c r="J16" s="17"/>
      <c r="K16" s="44"/>
      <c r="L16" s="8"/>
      <c r="M16" s="3" t="b">
        <v>0</v>
      </c>
      <c r="O16" s="120"/>
      <c r="P16" s="120"/>
      <c r="Q16" s="120"/>
      <c r="R16" s="120"/>
      <c r="S16" s="120"/>
      <c r="T16" s="120"/>
      <c r="U16" s="120"/>
      <c r="V16" s="120"/>
      <c r="W16" s="120" t="str">
        <f t="shared" si="0"/>
        <v/>
      </c>
      <c r="AG16" s="63" t="e">
        <f>VLOOKUP(B16,Відмінки!$A$1:$I$100,9,0)</f>
        <v>#VALUE!</v>
      </c>
      <c r="AH16" s="63" t="e">
        <f t="shared" si="1"/>
        <v>#VALUE!</v>
      </c>
      <c r="AI16" s="63"/>
      <c r="AJ16" s="63"/>
    </row>
    <row r="17" spans="1:36" s="3" customFormat="1" ht="64.2" customHeight="1" x14ac:dyDescent="0.3">
      <c r="A17" s="6">
        <v>7</v>
      </c>
      <c r="B17" s="147"/>
      <c r="C17" s="147"/>
      <c r="D17" s="147"/>
      <c r="E17" s="143"/>
      <c r="F17" s="143"/>
      <c r="G17" s="143"/>
      <c r="H17" s="143"/>
      <c r="I17" s="143"/>
      <c r="J17" s="17"/>
      <c r="K17" s="44"/>
      <c r="L17" s="8"/>
      <c r="M17" s="3" t="b">
        <v>0</v>
      </c>
      <c r="O17" s="120"/>
      <c r="P17" s="120"/>
      <c r="Q17" s="120"/>
      <c r="R17" s="120"/>
      <c r="S17" s="120"/>
      <c r="T17" s="120"/>
      <c r="U17" s="120"/>
      <c r="V17" s="120"/>
      <c r="W17" s="120" t="str">
        <f t="shared" si="0"/>
        <v/>
      </c>
      <c r="AG17" s="63" t="e">
        <f>VLOOKUP(B17,Відмінки!$A$1:$I$100,9,0)</f>
        <v>#VALUE!</v>
      </c>
      <c r="AH17" s="63" t="e">
        <f t="shared" si="1"/>
        <v>#VALUE!</v>
      </c>
      <c r="AI17" s="63"/>
      <c r="AJ17" s="63"/>
    </row>
    <row r="18" spans="1:36" s="3" customFormat="1" ht="64.2" customHeight="1" x14ac:dyDescent="0.3">
      <c r="A18" s="6">
        <v>8</v>
      </c>
      <c r="B18" s="147"/>
      <c r="C18" s="147"/>
      <c r="D18" s="147"/>
      <c r="E18" s="144"/>
      <c r="F18" s="145"/>
      <c r="G18" s="145"/>
      <c r="H18" s="145"/>
      <c r="I18" s="146"/>
      <c r="J18" s="17"/>
      <c r="K18" s="44"/>
      <c r="L18" s="8"/>
      <c r="M18" s="3" t="b">
        <v>0</v>
      </c>
      <c r="O18" s="120"/>
      <c r="P18" s="120"/>
      <c r="Q18" s="120"/>
      <c r="R18" s="120"/>
      <c r="S18" s="120"/>
      <c r="T18" s="120"/>
      <c r="U18" s="120"/>
      <c r="V18" s="120"/>
      <c r="W18" s="120" t="str">
        <f t="shared" si="0"/>
        <v/>
      </c>
      <c r="AG18" s="63" t="e">
        <f>VLOOKUP(B18,Відмінки!$A$1:$I$100,9,0)</f>
        <v>#VALUE!</v>
      </c>
      <c r="AH18" s="63" t="e">
        <f t="shared" si="1"/>
        <v>#VALUE!</v>
      </c>
      <c r="AI18" s="63"/>
      <c r="AJ18" s="63"/>
    </row>
    <row r="19" spans="1:36" s="3" customFormat="1" ht="64.2" customHeight="1" x14ac:dyDescent="0.3">
      <c r="A19" s="6">
        <v>9</v>
      </c>
      <c r="B19" s="147"/>
      <c r="C19" s="147"/>
      <c r="D19" s="147"/>
      <c r="E19" s="143"/>
      <c r="F19" s="143"/>
      <c r="G19" s="143"/>
      <c r="H19" s="143"/>
      <c r="I19" s="143"/>
      <c r="J19" s="17"/>
      <c r="K19" s="44"/>
      <c r="L19" s="8"/>
      <c r="M19" s="3" t="b">
        <v>0</v>
      </c>
      <c r="O19" s="120"/>
      <c r="P19" s="120"/>
      <c r="Q19" s="120"/>
      <c r="R19" s="120"/>
      <c r="S19" s="120"/>
      <c r="T19" s="120"/>
      <c r="U19" s="120"/>
      <c r="V19" s="120"/>
      <c r="W19" s="120" t="str">
        <f t="shared" si="0"/>
        <v/>
      </c>
      <c r="AG19" s="63" t="e">
        <f>VLOOKUP(B19,Відмінки!$A$1:$I$100,9,0)</f>
        <v>#VALUE!</v>
      </c>
      <c r="AH19" s="63" t="e">
        <f t="shared" si="1"/>
        <v>#VALUE!</v>
      </c>
      <c r="AI19" s="63"/>
      <c r="AJ19" s="63"/>
    </row>
    <row r="20" spans="1:36" s="3" customFormat="1" ht="64.2" customHeight="1" x14ac:dyDescent="0.3">
      <c r="A20" s="6">
        <v>10</v>
      </c>
      <c r="B20" s="147"/>
      <c r="C20" s="147"/>
      <c r="D20" s="147"/>
      <c r="E20" s="144"/>
      <c r="F20" s="145"/>
      <c r="G20" s="145"/>
      <c r="H20" s="145"/>
      <c r="I20" s="146"/>
      <c r="J20" s="17"/>
      <c r="K20" s="44"/>
      <c r="L20" s="8"/>
      <c r="M20" s="3" t="b">
        <v>0</v>
      </c>
      <c r="O20" s="120"/>
      <c r="P20" s="120"/>
      <c r="Q20" s="120"/>
      <c r="R20" s="120"/>
      <c r="S20" s="120"/>
      <c r="T20" s="120"/>
      <c r="U20" s="120"/>
      <c r="V20" s="120"/>
      <c r="W20" s="120" t="str">
        <f t="shared" si="0"/>
        <v/>
      </c>
      <c r="AG20" s="63" t="e">
        <f>VLOOKUP(B20,Відмінки!$A$1:$I$100,9,0)</f>
        <v>#VALUE!</v>
      </c>
      <c r="AH20" s="63" t="e">
        <f t="shared" si="1"/>
        <v>#VALUE!</v>
      </c>
      <c r="AI20" s="63"/>
      <c r="AJ20" s="63"/>
    </row>
    <row r="21" spans="1:36" s="3" customFormat="1" ht="64.2" customHeight="1" x14ac:dyDescent="0.3">
      <c r="A21" s="6">
        <v>11</v>
      </c>
      <c r="B21" s="147"/>
      <c r="C21" s="147"/>
      <c r="D21" s="147"/>
      <c r="E21" s="144"/>
      <c r="F21" s="145"/>
      <c r="G21" s="145"/>
      <c r="H21" s="145"/>
      <c r="I21" s="146"/>
      <c r="J21" s="17"/>
      <c r="K21" s="44"/>
      <c r="L21" s="8"/>
      <c r="M21" s="3" t="b">
        <v>0</v>
      </c>
      <c r="O21" s="120"/>
      <c r="P21" s="120"/>
      <c r="Q21" s="120"/>
      <c r="R21" s="120"/>
      <c r="S21" s="120"/>
      <c r="T21" s="120"/>
      <c r="U21" s="120"/>
      <c r="V21" s="120"/>
      <c r="W21" s="120" t="str">
        <f t="shared" si="0"/>
        <v/>
      </c>
      <c r="AG21" s="63" t="e">
        <f>VLOOKUP(B21,Відмінки!$A$1:$I$100,9,0)</f>
        <v>#VALUE!</v>
      </c>
      <c r="AH21" s="63" t="e">
        <f t="shared" si="1"/>
        <v>#VALUE!</v>
      </c>
      <c r="AI21" s="63"/>
      <c r="AJ21" s="63"/>
    </row>
    <row r="22" spans="1:36" s="3" customFormat="1" ht="64.2" customHeight="1" x14ac:dyDescent="0.3">
      <c r="A22" s="6">
        <v>12</v>
      </c>
      <c r="B22" s="147"/>
      <c r="C22" s="147"/>
      <c r="D22" s="147"/>
      <c r="E22" s="143"/>
      <c r="F22" s="143"/>
      <c r="G22" s="143"/>
      <c r="H22" s="143"/>
      <c r="I22" s="143"/>
      <c r="J22" s="17"/>
      <c r="K22" s="44"/>
      <c r="L22" s="8"/>
      <c r="M22" s="3" t="b">
        <v>0</v>
      </c>
      <c r="O22" s="120"/>
      <c r="P22" s="120"/>
      <c r="Q22" s="120"/>
      <c r="R22" s="120"/>
      <c r="S22" s="120"/>
      <c r="T22" s="120"/>
      <c r="U22" s="120"/>
      <c r="V22" s="120"/>
      <c r="W22" s="120" t="str">
        <f t="shared" si="0"/>
        <v/>
      </c>
      <c r="AG22" s="63" t="e">
        <f>VLOOKUP(B22,Відмінки!$A$1:$I$100,9,0)</f>
        <v>#VALUE!</v>
      </c>
      <c r="AH22" s="63" t="e">
        <f t="shared" si="1"/>
        <v>#VALUE!</v>
      </c>
      <c r="AI22" s="63"/>
      <c r="AJ22" s="63"/>
    </row>
    <row r="23" spans="1:36" s="3" customFormat="1" ht="64.2" customHeight="1" x14ac:dyDescent="0.3">
      <c r="A23" s="6">
        <v>13</v>
      </c>
      <c r="B23" s="147"/>
      <c r="C23" s="147"/>
      <c r="D23" s="147"/>
      <c r="E23" s="144"/>
      <c r="F23" s="145"/>
      <c r="G23" s="145"/>
      <c r="H23" s="145"/>
      <c r="I23" s="146"/>
      <c r="J23" s="17"/>
      <c r="K23" s="44"/>
      <c r="L23" s="8"/>
      <c r="M23" s="3" t="b">
        <v>0</v>
      </c>
      <c r="O23" s="120"/>
      <c r="P23" s="120"/>
      <c r="Q23" s="120"/>
      <c r="R23" s="120"/>
      <c r="S23" s="120"/>
      <c r="T23" s="120"/>
      <c r="U23" s="120"/>
      <c r="V23" s="120"/>
      <c r="W23" s="120" t="str">
        <f t="shared" si="0"/>
        <v/>
      </c>
      <c r="AG23" s="63" t="e">
        <f>VLOOKUP(B23,Відмінки!$A$1:$I$100,9,0)</f>
        <v>#VALUE!</v>
      </c>
      <c r="AH23" s="63" t="e">
        <f t="shared" si="1"/>
        <v>#VALUE!</v>
      </c>
      <c r="AI23" s="63"/>
      <c r="AJ23" s="63"/>
    </row>
    <row r="24" spans="1:36" s="3" customFormat="1" ht="64.2" customHeight="1" x14ac:dyDescent="0.3">
      <c r="A24" s="6">
        <v>14</v>
      </c>
      <c r="B24" s="147"/>
      <c r="C24" s="147"/>
      <c r="D24" s="147"/>
      <c r="E24" s="144"/>
      <c r="F24" s="145"/>
      <c r="G24" s="145"/>
      <c r="H24" s="145"/>
      <c r="I24" s="146"/>
      <c r="J24" s="17"/>
      <c r="K24" s="44"/>
      <c r="L24" s="8"/>
      <c r="M24" s="3" t="b">
        <v>0</v>
      </c>
      <c r="O24" s="120"/>
      <c r="P24" s="120"/>
      <c r="Q24" s="120"/>
      <c r="R24" s="120"/>
      <c r="S24" s="120"/>
      <c r="T24" s="120"/>
      <c r="U24" s="120"/>
      <c r="V24" s="120"/>
      <c r="W24" s="120" t="str">
        <f t="shared" si="0"/>
        <v/>
      </c>
      <c r="AG24" s="63" t="e">
        <f>VLOOKUP(B24,Відмінки!$A$1:$I$100,9,0)</f>
        <v>#VALUE!</v>
      </c>
      <c r="AH24" s="63" t="e">
        <f t="shared" si="1"/>
        <v>#VALUE!</v>
      </c>
      <c r="AI24" s="63"/>
      <c r="AJ24" s="63"/>
    </row>
    <row r="25" spans="1:36" s="3" customFormat="1" ht="64.2" customHeight="1" x14ac:dyDescent="0.3">
      <c r="A25" s="6">
        <v>15</v>
      </c>
      <c r="B25" s="147"/>
      <c r="C25" s="147"/>
      <c r="D25" s="147"/>
      <c r="E25" s="144"/>
      <c r="F25" s="145"/>
      <c r="G25" s="145"/>
      <c r="H25" s="145"/>
      <c r="I25" s="146"/>
      <c r="J25" s="17"/>
      <c r="K25" s="44"/>
      <c r="L25" s="8"/>
      <c r="M25" s="3" t="b">
        <v>0</v>
      </c>
      <c r="O25" s="120"/>
      <c r="P25" s="120"/>
      <c r="Q25" s="120"/>
      <c r="R25" s="120"/>
      <c r="S25" s="120"/>
      <c r="T25" s="120"/>
      <c r="U25" s="120"/>
      <c r="V25" s="120"/>
      <c r="W25" s="120" t="str">
        <f t="shared" si="0"/>
        <v/>
      </c>
      <c r="AG25" s="63" t="e">
        <f>VLOOKUP(B25,Відмінки!$A$1:$I$100,9,0)</f>
        <v>#VALUE!</v>
      </c>
      <c r="AH25" s="63" t="e">
        <f t="shared" si="1"/>
        <v>#VALUE!</v>
      </c>
      <c r="AI25" s="63"/>
      <c r="AJ25" s="63"/>
    </row>
    <row r="26" spans="1:36" s="3" customFormat="1" ht="64.2" customHeight="1" x14ac:dyDescent="0.3">
      <c r="A26" s="6">
        <v>16</v>
      </c>
      <c r="B26" s="147"/>
      <c r="C26" s="147"/>
      <c r="D26" s="147"/>
      <c r="E26" s="144"/>
      <c r="F26" s="145"/>
      <c r="G26" s="145"/>
      <c r="H26" s="145"/>
      <c r="I26" s="146"/>
      <c r="J26" s="17"/>
      <c r="K26" s="44"/>
      <c r="L26" s="8"/>
      <c r="M26" s="3" t="b">
        <v>0</v>
      </c>
      <c r="O26" s="120"/>
      <c r="P26" s="120"/>
      <c r="Q26" s="120"/>
      <c r="R26" s="120"/>
      <c r="S26" s="120"/>
      <c r="T26" s="120"/>
      <c r="U26" s="120"/>
      <c r="V26" s="120"/>
      <c r="W26" s="120" t="str">
        <f t="shared" si="0"/>
        <v/>
      </c>
      <c r="AG26" s="63" t="e">
        <f>VLOOKUP(B26,Відмінки!$A$1:$I$100,9,0)</f>
        <v>#VALUE!</v>
      </c>
      <c r="AH26" s="63" t="e">
        <f t="shared" si="1"/>
        <v>#VALUE!</v>
      </c>
      <c r="AI26" s="63"/>
      <c r="AJ26" s="63"/>
    </row>
    <row r="27" spans="1:36" s="3" customFormat="1" ht="64.2" customHeight="1" x14ac:dyDescent="0.3">
      <c r="A27" s="6">
        <v>17</v>
      </c>
      <c r="B27" s="147"/>
      <c r="C27" s="147"/>
      <c r="D27" s="147"/>
      <c r="E27" s="144"/>
      <c r="F27" s="145"/>
      <c r="G27" s="145"/>
      <c r="H27" s="145"/>
      <c r="I27" s="146"/>
      <c r="J27" s="17"/>
      <c r="K27" s="44"/>
      <c r="L27" s="8"/>
      <c r="M27" s="3" t="b">
        <v>0</v>
      </c>
      <c r="O27" s="120"/>
      <c r="P27" s="120"/>
      <c r="Q27" s="120"/>
      <c r="R27" s="120"/>
      <c r="S27" s="120"/>
      <c r="T27" s="120"/>
      <c r="U27" s="120"/>
      <c r="V27" s="120"/>
      <c r="W27" s="120" t="str">
        <f t="shared" si="0"/>
        <v/>
      </c>
      <c r="AG27" s="63" t="e">
        <f>VLOOKUP(B27,Відмінки!$A$1:$I$100,9,0)</f>
        <v>#VALUE!</v>
      </c>
      <c r="AH27" s="63" t="e">
        <f t="shared" si="1"/>
        <v>#VALUE!</v>
      </c>
      <c r="AI27" s="63"/>
      <c r="AJ27" s="63"/>
    </row>
    <row r="28" spans="1:36" s="3" customFormat="1" ht="64.2" customHeight="1" x14ac:dyDescent="0.3">
      <c r="A28" s="6">
        <v>18</v>
      </c>
      <c r="B28" s="147"/>
      <c r="C28" s="147"/>
      <c r="D28" s="147"/>
      <c r="E28" s="144"/>
      <c r="F28" s="145"/>
      <c r="G28" s="145"/>
      <c r="H28" s="145"/>
      <c r="I28" s="146"/>
      <c r="J28" s="17"/>
      <c r="K28" s="44"/>
      <c r="L28" s="8"/>
      <c r="M28" s="3" t="b">
        <v>0</v>
      </c>
      <c r="O28" s="120"/>
      <c r="P28" s="120"/>
      <c r="Q28" s="120"/>
      <c r="R28" s="120"/>
      <c r="S28" s="120"/>
      <c r="T28" s="120"/>
      <c r="U28" s="120"/>
      <c r="V28" s="120"/>
      <c r="W28" s="120" t="str">
        <f t="shared" si="0"/>
        <v/>
      </c>
      <c r="AG28" s="63" t="e">
        <f>VLOOKUP(B28,Відмінки!$A$1:$I$100,9,0)</f>
        <v>#VALUE!</v>
      </c>
      <c r="AH28" s="63" t="e">
        <f t="shared" si="1"/>
        <v>#VALUE!</v>
      </c>
      <c r="AI28" s="63"/>
      <c r="AJ28" s="63"/>
    </row>
    <row r="29" spans="1:36" s="3" customFormat="1" ht="64.2" customHeight="1" x14ac:dyDescent="0.3">
      <c r="A29" s="6">
        <v>19</v>
      </c>
      <c r="B29" s="147"/>
      <c r="C29" s="147"/>
      <c r="D29" s="147"/>
      <c r="E29" s="143"/>
      <c r="F29" s="143"/>
      <c r="G29" s="143"/>
      <c r="H29" s="143"/>
      <c r="I29" s="143"/>
      <c r="J29" s="17"/>
      <c r="K29" s="44"/>
      <c r="L29" s="8"/>
      <c r="M29" s="3" t="b">
        <v>0</v>
      </c>
      <c r="O29" s="120"/>
      <c r="P29" s="120"/>
      <c r="Q29" s="120"/>
      <c r="R29" s="120"/>
      <c r="S29" s="120"/>
      <c r="T29" s="120"/>
      <c r="U29" s="120"/>
      <c r="V29" s="120"/>
      <c r="W29" s="120" t="str">
        <f t="shared" si="0"/>
        <v/>
      </c>
      <c r="AG29" s="63" t="e">
        <f>VLOOKUP(B29,Відмінки!$A$1:$I$100,9,0)</f>
        <v>#VALUE!</v>
      </c>
      <c r="AH29" s="63" t="e">
        <f t="shared" si="1"/>
        <v>#VALUE!</v>
      </c>
      <c r="AI29" s="63"/>
      <c r="AJ29" s="63"/>
    </row>
    <row r="30" spans="1:36" s="3" customFormat="1" ht="64.2" customHeight="1" x14ac:dyDescent="0.3">
      <c r="A30" s="6">
        <v>20</v>
      </c>
      <c r="B30" s="147"/>
      <c r="C30" s="147"/>
      <c r="D30" s="147"/>
      <c r="E30" s="143"/>
      <c r="F30" s="143"/>
      <c r="G30" s="143"/>
      <c r="H30" s="143"/>
      <c r="I30" s="143"/>
      <c r="J30" s="17"/>
      <c r="K30" s="44"/>
      <c r="L30" s="8"/>
      <c r="M30" s="3" t="b">
        <v>0</v>
      </c>
      <c r="O30" s="120"/>
      <c r="P30" s="120"/>
      <c r="Q30" s="120"/>
      <c r="R30" s="120"/>
      <c r="S30" s="120"/>
      <c r="T30" s="120"/>
      <c r="U30" s="120"/>
      <c r="V30" s="120"/>
      <c r="W30" s="120" t="str">
        <f t="shared" si="0"/>
        <v/>
      </c>
      <c r="AG30" s="63" t="e">
        <f>VLOOKUP(B30,Відмінки!$A$1:$I$100,9,0)</f>
        <v>#VALUE!</v>
      </c>
      <c r="AH30" s="63" t="e">
        <f t="shared" si="1"/>
        <v>#VALUE!</v>
      </c>
      <c r="AI30" s="63"/>
      <c r="AJ30" s="63"/>
    </row>
    <row r="31" spans="1:36" s="3" customFormat="1" ht="64.2" customHeight="1" x14ac:dyDescent="0.3">
      <c r="A31" s="6">
        <v>21</v>
      </c>
      <c r="B31" s="147"/>
      <c r="C31" s="147"/>
      <c r="D31" s="147"/>
      <c r="E31" s="143"/>
      <c r="F31" s="143"/>
      <c r="G31" s="143"/>
      <c r="H31" s="143"/>
      <c r="I31" s="143"/>
      <c r="J31" s="18"/>
      <c r="K31" s="44"/>
      <c r="L31" s="8"/>
      <c r="M31" s="3" t="b">
        <v>0</v>
      </c>
      <c r="O31" s="120"/>
      <c r="P31" s="120"/>
      <c r="Q31" s="120"/>
      <c r="R31" s="120"/>
      <c r="S31" s="120"/>
      <c r="T31" s="120"/>
      <c r="U31" s="120"/>
      <c r="V31" s="120"/>
      <c r="W31" s="120" t="str">
        <f t="shared" si="0"/>
        <v/>
      </c>
      <c r="AG31" s="63" t="e">
        <f>VLOOKUP(B31,Відмінки!$A$1:$I$100,9,0)</f>
        <v>#VALUE!</v>
      </c>
      <c r="AH31" s="63" t="e">
        <f t="shared" si="1"/>
        <v>#VALUE!</v>
      </c>
      <c r="AI31" s="63"/>
      <c r="AJ31" s="63"/>
    </row>
    <row r="32" spans="1:36" x14ac:dyDescent="0.25">
      <c r="AH32" s="63" t="str">
        <f>IFERROR(LEFT(TRIM(B32),FIND(" ",B32,1)+1)&amp;". "&amp;LEFT((RIGHT(TRIM(B32),LEN(B32)-FIND(" ",B32,FIND(" ",B32,1)+1))),1)&amp;".","")</f>
        <v/>
      </c>
    </row>
  </sheetData>
  <sheetProtection selectLockedCells="1"/>
  <mergeCells count="63">
    <mergeCell ref="B11:D11"/>
    <mergeCell ref="B4:C4"/>
    <mergeCell ref="B5:C5"/>
    <mergeCell ref="F2:G2"/>
    <mergeCell ref="F3:G3"/>
    <mergeCell ref="F4:G4"/>
    <mergeCell ref="F5:G5"/>
    <mergeCell ref="B2:C2"/>
    <mergeCell ref="B3:C3"/>
    <mergeCell ref="D2:E2"/>
    <mergeCell ref="D3:E3"/>
    <mergeCell ref="B10:D10"/>
    <mergeCell ref="B6:C6"/>
    <mergeCell ref="D6:E6"/>
    <mergeCell ref="F6:G6"/>
    <mergeCell ref="B7:D7"/>
    <mergeCell ref="B27:D27"/>
    <mergeCell ref="B28:D28"/>
    <mergeCell ref="B29:D29"/>
    <mergeCell ref="B23:D23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1:D21"/>
    <mergeCell ref="B22:D22"/>
    <mergeCell ref="D4:E4"/>
    <mergeCell ref="D5:E5"/>
    <mergeCell ref="E24:I24"/>
    <mergeCell ref="E25:I25"/>
    <mergeCell ref="E26:I26"/>
    <mergeCell ref="E18:I18"/>
    <mergeCell ref="E19:I19"/>
    <mergeCell ref="E20:I20"/>
    <mergeCell ref="E21:I21"/>
    <mergeCell ref="E22:I22"/>
    <mergeCell ref="E23:I23"/>
    <mergeCell ref="E10:I10"/>
    <mergeCell ref="E11:I11"/>
    <mergeCell ref="E12:I12"/>
    <mergeCell ref="E13:I13"/>
    <mergeCell ref="E14:I14"/>
    <mergeCell ref="B8:D8"/>
    <mergeCell ref="B9:C9"/>
    <mergeCell ref="D9:E9"/>
    <mergeCell ref="E30:I30"/>
    <mergeCell ref="E31:I31"/>
    <mergeCell ref="E27:I27"/>
    <mergeCell ref="E28:I28"/>
    <mergeCell ref="E29:I29"/>
    <mergeCell ref="B30:D30"/>
    <mergeCell ref="B31:D31"/>
    <mergeCell ref="E15:I15"/>
    <mergeCell ref="E16:I16"/>
    <mergeCell ref="E17:I17"/>
    <mergeCell ref="B24:D24"/>
    <mergeCell ref="B25:D25"/>
    <mergeCell ref="B26:D26"/>
  </mergeCells>
  <conditionalFormatting sqref="O11:O31 Q11:Q31 S11:S31 V11:V31 U11:U31">
    <cfRule type="expression" dxfId="2" priority="5">
      <formula>$M11=TRUE</formula>
    </cfRule>
  </conditionalFormatting>
  <conditionalFormatting sqref="P11:P31 R11:R31 T11:T31">
    <cfRule type="expression" dxfId="1" priority="4">
      <formula>$M11=TRUE</formula>
    </cfRule>
  </conditionalFormatting>
  <conditionalFormatting sqref="W11:W31">
    <cfRule type="expression" dxfId="0" priority="1">
      <formula>$M11=TRUE</formula>
    </cfRule>
  </conditionalFormatting>
  <dataValidations count="4">
    <dataValidation type="decimal" operator="greaterThanOrEqual" allowBlank="1" showInputMessage="1" showErrorMessage="1" errorTitle="Негативне число" error="Числа з негативним значенням, не допускаються. " sqref="D4:E6 E7:E8">
      <formula1>0</formula1>
    </dataValidation>
    <dataValidation type="whole" operator="greaterThanOrEqual" allowBlank="1" showInputMessage="1" showErrorMessage="1" error="Дозволенно вводити лише позитивні цілі числа." sqref="H4:H6">
      <formula1>0</formula1>
    </dataValidation>
    <dataValidation type="whole" operator="greaterThanOrEqual" allowBlank="1" showInputMessage="1" showErrorMessage="1" error="Дозволено вводити лише позитивні цілі числа." sqref="P11:P31 R11:R31 T11:T31">
      <formula1>0</formula1>
    </dataValidation>
    <dataValidation type="decimal" operator="greaterThanOrEqual" allowBlank="1" showInputMessage="1" showErrorMessage="1" errorTitle="Негативне значення" error="Числа з негативним значенням, не допускаються. " sqref="O11:O31 Q11:Q31 S11:S31 U11:V31">
      <formula1>0</formula1>
    </dataValidation>
  </dataValidations>
  <pageMargins left="0.7" right="0.7" top="0.75" bottom="0.75" header="0.3" footer="0.3"/>
  <pageSetup paperSize="9" orientation="portrait" r:id="rId1"/>
  <ignoredErrors>
    <ignoredError sqref="AH12 AH18:AH31 AG13:AH17 AG18:AG31" evalError="1"/>
  </ignoredErrors>
  <drawing r:id="rId2"/>
  <legacyDrawing r:id="rId3"/>
  <controls>
    <mc:AlternateContent xmlns:mc="http://schemas.openxmlformats.org/markup-compatibility/2006">
      <mc:Choice Requires="x14">
        <control shapeId="1040" r:id="rId4" name="CheckBox1">
          <controlPr locked="0" defaultSize="0" autoFill="0" autoLine="0" linkedCell="M11" r:id="rId5">
            <anchor moveWithCells="1">
              <from>
                <xdr:col>12</xdr:col>
                <xdr:colOff>30480</xdr:colOff>
                <xdr:row>10</xdr:row>
                <xdr:rowOff>38100</xdr:rowOff>
              </from>
              <to>
                <xdr:col>13</xdr:col>
                <xdr:colOff>617220</xdr:colOff>
                <xdr:row>10</xdr:row>
                <xdr:rowOff>792480</xdr:rowOff>
              </to>
            </anchor>
          </controlPr>
        </control>
      </mc:Choice>
      <mc:Fallback>
        <control shapeId="1040" r:id="rId4" name="CheckBox1"/>
      </mc:Fallback>
    </mc:AlternateContent>
    <mc:AlternateContent xmlns:mc="http://schemas.openxmlformats.org/markup-compatibility/2006">
      <mc:Choice Requires="x14">
        <control shapeId="1042" r:id="rId6" name="CheckBox2">
          <controlPr defaultSize="0" autoFill="0" autoLine="0" linkedCell="M12" r:id="rId7">
            <anchor moveWithCells="1">
              <from>
                <xdr:col>12</xdr:col>
                <xdr:colOff>30480</xdr:colOff>
                <xdr:row>11</xdr:row>
                <xdr:rowOff>38100</xdr:rowOff>
              </from>
              <to>
                <xdr:col>13</xdr:col>
                <xdr:colOff>617220</xdr:colOff>
                <xdr:row>11</xdr:row>
                <xdr:rowOff>792480</xdr:rowOff>
              </to>
            </anchor>
          </controlPr>
        </control>
      </mc:Choice>
      <mc:Fallback>
        <control shapeId="1042" r:id="rId6" name="CheckBox2"/>
      </mc:Fallback>
    </mc:AlternateContent>
    <mc:AlternateContent xmlns:mc="http://schemas.openxmlformats.org/markup-compatibility/2006">
      <mc:Choice Requires="x14">
        <control shapeId="1043" r:id="rId8" name="CheckBox3">
          <controlPr defaultSize="0" autoFill="0" autoLine="0" linkedCell="M13" r:id="rId9">
            <anchor moveWithCells="1">
              <from>
                <xdr:col>12</xdr:col>
                <xdr:colOff>30480</xdr:colOff>
                <xdr:row>12</xdr:row>
                <xdr:rowOff>30480</xdr:rowOff>
              </from>
              <to>
                <xdr:col>13</xdr:col>
                <xdr:colOff>617220</xdr:colOff>
                <xdr:row>12</xdr:row>
                <xdr:rowOff>784860</xdr:rowOff>
              </to>
            </anchor>
          </controlPr>
        </control>
      </mc:Choice>
      <mc:Fallback>
        <control shapeId="1043" r:id="rId8" name="CheckBox3"/>
      </mc:Fallback>
    </mc:AlternateContent>
    <mc:AlternateContent xmlns:mc="http://schemas.openxmlformats.org/markup-compatibility/2006">
      <mc:Choice Requires="x14">
        <control shapeId="1044" r:id="rId10" name="CheckBox4">
          <controlPr defaultSize="0" autoFill="0" autoLine="0" linkedCell="M14" r:id="rId11">
            <anchor moveWithCells="1">
              <from>
                <xdr:col>12</xdr:col>
                <xdr:colOff>30480</xdr:colOff>
                <xdr:row>13</xdr:row>
                <xdr:rowOff>22860</xdr:rowOff>
              </from>
              <to>
                <xdr:col>13</xdr:col>
                <xdr:colOff>617220</xdr:colOff>
                <xdr:row>13</xdr:row>
                <xdr:rowOff>777240</xdr:rowOff>
              </to>
            </anchor>
          </controlPr>
        </control>
      </mc:Choice>
      <mc:Fallback>
        <control shapeId="1044" r:id="rId10" name="CheckBox4"/>
      </mc:Fallback>
    </mc:AlternateContent>
    <mc:AlternateContent xmlns:mc="http://schemas.openxmlformats.org/markup-compatibility/2006">
      <mc:Choice Requires="x14">
        <control shapeId="1045" r:id="rId12" name="CheckBox5">
          <controlPr defaultSize="0" autoFill="0" autoLine="0" linkedCell="M15" r:id="rId13">
            <anchor moveWithCells="1">
              <from>
                <xdr:col>12</xdr:col>
                <xdr:colOff>30480</xdr:colOff>
                <xdr:row>14</xdr:row>
                <xdr:rowOff>15240</xdr:rowOff>
              </from>
              <to>
                <xdr:col>13</xdr:col>
                <xdr:colOff>617220</xdr:colOff>
                <xdr:row>14</xdr:row>
                <xdr:rowOff>777240</xdr:rowOff>
              </to>
            </anchor>
          </controlPr>
        </control>
      </mc:Choice>
      <mc:Fallback>
        <control shapeId="1045" r:id="rId12" name="CheckBox5"/>
      </mc:Fallback>
    </mc:AlternateContent>
    <mc:AlternateContent xmlns:mc="http://schemas.openxmlformats.org/markup-compatibility/2006">
      <mc:Choice Requires="x14">
        <control shapeId="1046" r:id="rId14" name="CheckBox6">
          <controlPr defaultSize="0" autoFill="0" autoLine="0" linkedCell="M16" r:id="rId15">
            <anchor moveWithCells="1">
              <from>
                <xdr:col>12</xdr:col>
                <xdr:colOff>30480</xdr:colOff>
                <xdr:row>15</xdr:row>
                <xdr:rowOff>7620</xdr:rowOff>
              </from>
              <to>
                <xdr:col>13</xdr:col>
                <xdr:colOff>617220</xdr:colOff>
                <xdr:row>15</xdr:row>
                <xdr:rowOff>769620</xdr:rowOff>
              </to>
            </anchor>
          </controlPr>
        </control>
      </mc:Choice>
      <mc:Fallback>
        <control shapeId="1046" r:id="rId14" name="CheckBox6"/>
      </mc:Fallback>
    </mc:AlternateContent>
    <mc:AlternateContent xmlns:mc="http://schemas.openxmlformats.org/markup-compatibility/2006">
      <mc:Choice Requires="x14">
        <control shapeId="1047" r:id="rId16" name="CheckBox7">
          <controlPr defaultSize="0" autoFill="0" autoLine="0" linkedCell="M17" r:id="rId17">
            <anchor moveWithCells="1">
              <from>
                <xdr:col>12</xdr:col>
                <xdr:colOff>30480</xdr:colOff>
                <xdr:row>16</xdr:row>
                <xdr:rowOff>0</xdr:rowOff>
              </from>
              <to>
                <xdr:col>14</xdr:col>
                <xdr:colOff>0</xdr:colOff>
                <xdr:row>16</xdr:row>
                <xdr:rowOff>762000</xdr:rowOff>
              </to>
            </anchor>
          </controlPr>
        </control>
      </mc:Choice>
      <mc:Fallback>
        <control shapeId="1047" r:id="rId16" name="CheckBox7"/>
      </mc:Fallback>
    </mc:AlternateContent>
    <mc:AlternateContent xmlns:mc="http://schemas.openxmlformats.org/markup-compatibility/2006">
      <mc:Choice Requires="x14">
        <control shapeId="1048" r:id="rId18" name="CheckBox8">
          <controlPr defaultSize="0" autoFill="0" autoLine="0" linkedCell="M18" r:id="rId19">
            <anchor moveWithCells="1">
              <from>
                <xdr:col>12</xdr:col>
                <xdr:colOff>30480</xdr:colOff>
                <xdr:row>17</xdr:row>
                <xdr:rowOff>30480</xdr:rowOff>
              </from>
              <to>
                <xdr:col>14</xdr:col>
                <xdr:colOff>0</xdr:colOff>
                <xdr:row>17</xdr:row>
                <xdr:rowOff>777240</xdr:rowOff>
              </to>
            </anchor>
          </controlPr>
        </control>
      </mc:Choice>
      <mc:Fallback>
        <control shapeId="1048" r:id="rId18" name="CheckBox8"/>
      </mc:Fallback>
    </mc:AlternateContent>
    <mc:AlternateContent xmlns:mc="http://schemas.openxmlformats.org/markup-compatibility/2006">
      <mc:Choice Requires="x14">
        <control shapeId="1053" r:id="rId20" name="CheckBox9">
          <controlPr defaultSize="0" autoFill="0" autoLine="0" linkedCell="M19" r:id="rId21">
            <anchor moveWithCells="1">
              <from>
                <xdr:col>12</xdr:col>
                <xdr:colOff>30480</xdr:colOff>
                <xdr:row>18</xdr:row>
                <xdr:rowOff>30480</xdr:rowOff>
              </from>
              <to>
                <xdr:col>13</xdr:col>
                <xdr:colOff>617220</xdr:colOff>
                <xdr:row>18</xdr:row>
                <xdr:rowOff>784860</xdr:rowOff>
              </to>
            </anchor>
          </controlPr>
        </control>
      </mc:Choice>
      <mc:Fallback>
        <control shapeId="1053" r:id="rId20" name="CheckBox9"/>
      </mc:Fallback>
    </mc:AlternateContent>
    <mc:AlternateContent xmlns:mc="http://schemas.openxmlformats.org/markup-compatibility/2006">
      <mc:Choice Requires="x14">
        <control shapeId="1054" r:id="rId22" name="CheckBox10">
          <controlPr defaultSize="0" autoFill="0" autoLine="0" linkedCell="M20" r:id="rId23">
            <anchor moveWithCells="1">
              <from>
                <xdr:col>12</xdr:col>
                <xdr:colOff>30480</xdr:colOff>
                <xdr:row>19</xdr:row>
                <xdr:rowOff>30480</xdr:rowOff>
              </from>
              <to>
                <xdr:col>13</xdr:col>
                <xdr:colOff>617220</xdr:colOff>
                <xdr:row>19</xdr:row>
                <xdr:rowOff>784860</xdr:rowOff>
              </to>
            </anchor>
          </controlPr>
        </control>
      </mc:Choice>
      <mc:Fallback>
        <control shapeId="1054" r:id="rId22" name="CheckBox10"/>
      </mc:Fallback>
    </mc:AlternateContent>
    <mc:AlternateContent xmlns:mc="http://schemas.openxmlformats.org/markup-compatibility/2006">
      <mc:Choice Requires="x14">
        <control shapeId="1055" r:id="rId24" name="CheckBox11">
          <controlPr defaultSize="0" autoFill="0" autoLine="0" linkedCell="M21" r:id="rId25">
            <anchor moveWithCells="1">
              <from>
                <xdr:col>12</xdr:col>
                <xdr:colOff>30480</xdr:colOff>
                <xdr:row>20</xdr:row>
                <xdr:rowOff>30480</xdr:rowOff>
              </from>
              <to>
                <xdr:col>14</xdr:col>
                <xdr:colOff>0</xdr:colOff>
                <xdr:row>20</xdr:row>
                <xdr:rowOff>784860</xdr:rowOff>
              </to>
            </anchor>
          </controlPr>
        </control>
      </mc:Choice>
      <mc:Fallback>
        <control shapeId="1055" r:id="rId24" name="CheckBox11"/>
      </mc:Fallback>
    </mc:AlternateContent>
    <mc:AlternateContent xmlns:mc="http://schemas.openxmlformats.org/markup-compatibility/2006">
      <mc:Choice Requires="x14">
        <control shapeId="1056" r:id="rId26" name="CheckBox12">
          <controlPr defaultSize="0" autoFill="0" autoLine="0" linkedCell="M22" r:id="rId27">
            <anchor moveWithCells="1">
              <from>
                <xdr:col>12</xdr:col>
                <xdr:colOff>30480</xdr:colOff>
                <xdr:row>21</xdr:row>
                <xdr:rowOff>38100</xdr:rowOff>
              </from>
              <to>
                <xdr:col>14</xdr:col>
                <xdr:colOff>0</xdr:colOff>
                <xdr:row>21</xdr:row>
                <xdr:rowOff>792480</xdr:rowOff>
              </to>
            </anchor>
          </controlPr>
        </control>
      </mc:Choice>
      <mc:Fallback>
        <control shapeId="1056" r:id="rId26" name="CheckBox12"/>
      </mc:Fallback>
    </mc:AlternateContent>
    <mc:AlternateContent xmlns:mc="http://schemas.openxmlformats.org/markup-compatibility/2006">
      <mc:Choice Requires="x14">
        <control shapeId="1057" r:id="rId28" name="CheckBox13">
          <controlPr defaultSize="0" autoFill="0" autoLine="0" linkedCell="M23" r:id="rId29">
            <anchor moveWithCells="1">
              <from>
                <xdr:col>12</xdr:col>
                <xdr:colOff>30480</xdr:colOff>
                <xdr:row>22</xdr:row>
                <xdr:rowOff>38100</xdr:rowOff>
              </from>
              <to>
                <xdr:col>14</xdr:col>
                <xdr:colOff>0</xdr:colOff>
                <xdr:row>22</xdr:row>
                <xdr:rowOff>800100</xdr:rowOff>
              </to>
            </anchor>
          </controlPr>
        </control>
      </mc:Choice>
      <mc:Fallback>
        <control shapeId="1057" r:id="rId28" name="CheckBox13"/>
      </mc:Fallback>
    </mc:AlternateContent>
    <mc:AlternateContent xmlns:mc="http://schemas.openxmlformats.org/markup-compatibility/2006">
      <mc:Choice Requires="x14">
        <control shapeId="1058" r:id="rId30" name="CheckBox14">
          <controlPr defaultSize="0" autoFill="0" autoLine="0" linkedCell="M24" r:id="rId31">
            <anchor moveWithCells="1">
              <from>
                <xdr:col>12</xdr:col>
                <xdr:colOff>30480</xdr:colOff>
                <xdr:row>23</xdr:row>
                <xdr:rowOff>45720</xdr:rowOff>
              </from>
              <to>
                <xdr:col>14</xdr:col>
                <xdr:colOff>0</xdr:colOff>
                <xdr:row>23</xdr:row>
                <xdr:rowOff>807720</xdr:rowOff>
              </to>
            </anchor>
          </controlPr>
        </control>
      </mc:Choice>
      <mc:Fallback>
        <control shapeId="1058" r:id="rId30" name="CheckBox14"/>
      </mc:Fallback>
    </mc:AlternateContent>
    <mc:AlternateContent xmlns:mc="http://schemas.openxmlformats.org/markup-compatibility/2006">
      <mc:Choice Requires="x14">
        <control shapeId="1059" r:id="rId32" name="CheckBox15">
          <controlPr defaultSize="0" autoFill="0" autoLine="0" linkedCell="M25" r:id="rId33">
            <anchor moveWithCells="1">
              <from>
                <xdr:col>12</xdr:col>
                <xdr:colOff>30480</xdr:colOff>
                <xdr:row>24</xdr:row>
                <xdr:rowOff>45720</xdr:rowOff>
              </from>
              <to>
                <xdr:col>14</xdr:col>
                <xdr:colOff>0</xdr:colOff>
                <xdr:row>24</xdr:row>
                <xdr:rowOff>807720</xdr:rowOff>
              </to>
            </anchor>
          </controlPr>
        </control>
      </mc:Choice>
      <mc:Fallback>
        <control shapeId="1059" r:id="rId32" name="CheckBox15"/>
      </mc:Fallback>
    </mc:AlternateContent>
    <mc:AlternateContent xmlns:mc="http://schemas.openxmlformats.org/markup-compatibility/2006">
      <mc:Choice Requires="x14">
        <control shapeId="1060" r:id="rId34" name="CheckBox16">
          <controlPr defaultSize="0" autoFill="0" autoLine="0" linkedCell="M26" r:id="rId35">
            <anchor moveWithCells="1">
              <from>
                <xdr:col>12</xdr:col>
                <xdr:colOff>30480</xdr:colOff>
                <xdr:row>25</xdr:row>
                <xdr:rowOff>38100</xdr:rowOff>
              </from>
              <to>
                <xdr:col>14</xdr:col>
                <xdr:colOff>0</xdr:colOff>
                <xdr:row>25</xdr:row>
                <xdr:rowOff>800100</xdr:rowOff>
              </to>
            </anchor>
          </controlPr>
        </control>
      </mc:Choice>
      <mc:Fallback>
        <control shapeId="1060" r:id="rId34" name="CheckBox16"/>
      </mc:Fallback>
    </mc:AlternateContent>
    <mc:AlternateContent xmlns:mc="http://schemas.openxmlformats.org/markup-compatibility/2006">
      <mc:Choice Requires="x14">
        <control shapeId="1069" r:id="rId36" name="CheckBox17">
          <controlPr defaultSize="0" autoFill="0" autoLine="0" linkedCell="M27" r:id="rId37">
            <anchor moveWithCells="1">
              <from>
                <xdr:col>12</xdr:col>
                <xdr:colOff>30480</xdr:colOff>
                <xdr:row>26</xdr:row>
                <xdr:rowOff>30480</xdr:rowOff>
              </from>
              <to>
                <xdr:col>14</xdr:col>
                <xdr:colOff>0</xdr:colOff>
                <xdr:row>26</xdr:row>
                <xdr:rowOff>792480</xdr:rowOff>
              </to>
            </anchor>
          </controlPr>
        </control>
      </mc:Choice>
      <mc:Fallback>
        <control shapeId="1069" r:id="rId36" name="CheckBox17"/>
      </mc:Fallback>
    </mc:AlternateContent>
    <mc:AlternateContent xmlns:mc="http://schemas.openxmlformats.org/markup-compatibility/2006">
      <mc:Choice Requires="x14">
        <control shapeId="1070" r:id="rId38" name="CheckBox18">
          <controlPr defaultSize="0" autoFill="0" autoLine="0" linkedCell="M28" r:id="rId39">
            <anchor moveWithCells="1">
              <from>
                <xdr:col>12</xdr:col>
                <xdr:colOff>30480</xdr:colOff>
                <xdr:row>27</xdr:row>
                <xdr:rowOff>38100</xdr:rowOff>
              </from>
              <to>
                <xdr:col>14</xdr:col>
                <xdr:colOff>0</xdr:colOff>
                <xdr:row>27</xdr:row>
                <xdr:rowOff>800100</xdr:rowOff>
              </to>
            </anchor>
          </controlPr>
        </control>
      </mc:Choice>
      <mc:Fallback>
        <control shapeId="1070" r:id="rId38" name="CheckBox18"/>
      </mc:Fallback>
    </mc:AlternateContent>
    <mc:AlternateContent xmlns:mc="http://schemas.openxmlformats.org/markup-compatibility/2006">
      <mc:Choice Requires="x14">
        <control shapeId="1071" r:id="rId40" name="CheckBox19">
          <controlPr defaultSize="0" autoFill="0" autoLine="0" linkedCell="M29" r:id="rId41">
            <anchor moveWithCells="1">
              <from>
                <xdr:col>12</xdr:col>
                <xdr:colOff>30480</xdr:colOff>
                <xdr:row>28</xdr:row>
                <xdr:rowOff>30480</xdr:rowOff>
              </from>
              <to>
                <xdr:col>14</xdr:col>
                <xdr:colOff>0</xdr:colOff>
                <xdr:row>28</xdr:row>
                <xdr:rowOff>792480</xdr:rowOff>
              </to>
            </anchor>
          </controlPr>
        </control>
      </mc:Choice>
      <mc:Fallback>
        <control shapeId="1071" r:id="rId40" name="CheckBox19"/>
      </mc:Fallback>
    </mc:AlternateContent>
    <mc:AlternateContent xmlns:mc="http://schemas.openxmlformats.org/markup-compatibility/2006">
      <mc:Choice Requires="x14">
        <control shapeId="1072" r:id="rId42" name="CheckBox20">
          <controlPr defaultSize="0" autoFill="0" autoLine="0" linkedCell="M30" r:id="rId43">
            <anchor moveWithCells="1">
              <from>
                <xdr:col>12</xdr:col>
                <xdr:colOff>30480</xdr:colOff>
                <xdr:row>29</xdr:row>
                <xdr:rowOff>30480</xdr:rowOff>
              </from>
              <to>
                <xdr:col>14</xdr:col>
                <xdr:colOff>0</xdr:colOff>
                <xdr:row>29</xdr:row>
                <xdr:rowOff>792480</xdr:rowOff>
              </to>
            </anchor>
          </controlPr>
        </control>
      </mc:Choice>
      <mc:Fallback>
        <control shapeId="1072" r:id="rId42" name="CheckBox20"/>
      </mc:Fallback>
    </mc:AlternateContent>
    <mc:AlternateContent xmlns:mc="http://schemas.openxmlformats.org/markup-compatibility/2006">
      <mc:Choice Requires="x14">
        <control shapeId="1073" r:id="rId44" name="CheckBox21">
          <controlPr defaultSize="0" autoFill="0" autoLine="0" linkedCell="M31" r:id="rId45">
            <anchor moveWithCells="1">
              <from>
                <xdr:col>12</xdr:col>
                <xdr:colOff>30480</xdr:colOff>
                <xdr:row>30</xdr:row>
                <xdr:rowOff>30480</xdr:rowOff>
              </from>
              <to>
                <xdr:col>14</xdr:col>
                <xdr:colOff>0</xdr:colOff>
                <xdr:row>30</xdr:row>
                <xdr:rowOff>784860</xdr:rowOff>
              </to>
            </anchor>
          </controlPr>
        </control>
      </mc:Choice>
      <mc:Fallback>
        <control shapeId="1073" r:id="rId44" name="CheckBox21"/>
      </mc:Fallback>
    </mc:AlternateContent>
    <mc:AlternateContent xmlns:mc="http://schemas.openxmlformats.org/markup-compatibility/2006">
      <mc:Choice Requires="x14">
        <control shapeId="1028" r:id="rId46" name="Button 4">
          <controlPr defaultSize="0" print="0" autoFill="0" autoPict="0" macro="[0]!MakeReport.MakeReport">
            <anchor moveWithCells="1" sizeWithCells="1">
              <from>
                <xdr:col>8</xdr:col>
                <xdr:colOff>76200</xdr:colOff>
                <xdr:row>6</xdr:row>
                <xdr:rowOff>320040</xdr:rowOff>
              </from>
              <to>
                <xdr:col>9</xdr:col>
                <xdr:colOff>2080260</xdr:colOff>
                <xdr:row>8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47" name="Button 7">
          <controlPr defaultSize="0" print="0" autoFill="0" autoPict="0" macro="[0]!MakeReport_2.MakeReport_2">
            <anchor moveWithCells="1" sizeWithCells="1">
              <from>
                <xdr:col>9</xdr:col>
                <xdr:colOff>2286000</xdr:colOff>
                <xdr:row>6</xdr:row>
                <xdr:rowOff>320040</xdr:rowOff>
              </from>
              <to>
                <xdr:col>10</xdr:col>
                <xdr:colOff>396240</xdr:colOff>
                <xdr:row>8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48" name="Button 10">
          <controlPr defaultSize="0" print="0" autoFill="0" autoPict="0" macro="[0]!MakeReport_3.MakeReport_3">
            <anchor moveWithCells="1" sizeWithCells="1">
              <from>
                <xdr:col>5</xdr:col>
                <xdr:colOff>388620</xdr:colOff>
                <xdr:row>6</xdr:row>
                <xdr:rowOff>320040</xdr:rowOff>
              </from>
              <to>
                <xdr:col>7</xdr:col>
                <xdr:colOff>1028700</xdr:colOff>
                <xdr:row>8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49" name="Button 55">
          <controlPr defaultSize="0" print="0" autoFill="0" autoPict="0" macro="[0]!Go_to_data_base">
            <anchor moveWithCells="1">
              <from>
                <xdr:col>10</xdr:col>
                <xdr:colOff>60960</xdr:colOff>
                <xdr:row>1</xdr:row>
                <xdr:rowOff>0</xdr:rowOff>
              </from>
              <to>
                <xdr:col>10</xdr:col>
                <xdr:colOff>1211580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50" name="Button 56">
          <controlPr defaultSize="0" print="0" autoFill="0" autoPict="0" macro="[0]!Go_to_setting">
            <anchor moveWithCells="1" sizeWithCells="1">
              <from>
                <xdr:col>11</xdr:col>
                <xdr:colOff>76200</xdr:colOff>
                <xdr:row>1</xdr:row>
                <xdr:rowOff>0</xdr:rowOff>
              </from>
              <to>
                <xdr:col>11</xdr:col>
                <xdr:colOff>1226820</xdr:colOff>
                <xdr:row>2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="Невірно вказане ім'я._x000a_Перевірте чи вірно Ви ввели ім'я, або додайте його до аркуша &quot;База данних&quot; після чого розширте список.">
          <x14:formula1>
            <xm:f>'База даних'!$B$2:$B$25</xm:f>
          </x14:formula1>
          <xm:sqref>J3</xm:sqref>
        </x14:dataValidation>
        <x14:dataValidation type="list" allowBlank="1" showInputMessage="1" showErrorMessage="1">
          <x14:formula1>
            <xm:f>'База даних'!$E$2:$E$11</xm:f>
          </x14:formula1>
          <xm:sqref>K11:K31</xm:sqref>
        </x14:dataValidation>
        <x14:dataValidation type="list" errorStyle="warning" allowBlank="1" showInputMessage="1" showErrorMessage="1" error="Невірно вказане ім'я._x000a_Перевірте чи вірно Ви ввели ім'я, або додайте його до аркуша &quot;База данних&quot; після чого розшерте список.">
          <x14:formula1>
            <xm:f>'База даних'!$B$2:$B$26</xm:f>
          </x14:formula1>
          <xm:sqref>B12:D31</xm:sqref>
        </x14:dataValidation>
        <x14:dataValidation type="list" showInputMessage="1" showErrorMessage="1" error="Невірно вказане ім'я._x000a_Перевірте чи вірно Ви ввели ім'я, або додайте його до аркуша &quot;База данних&quot; після чого розширте список.">
          <x14:formula1>
            <xm:f>'База даних'!$B$2:$B$26</xm:f>
          </x14:formula1>
          <xm:sqref>B11:D11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>
    <tabColor theme="1"/>
  </sheetPr>
  <dimension ref="B2:U14"/>
  <sheetViews>
    <sheetView zoomScale="85" zoomScaleNormal="85" workbookViewId="0">
      <selection activeCell="F7" sqref="F7"/>
    </sheetView>
  </sheetViews>
  <sheetFormatPr defaultRowHeight="21" customHeight="1" x14ac:dyDescent="0.3"/>
  <cols>
    <col min="1" max="1" width="4.6640625" style="83" customWidth="1"/>
    <col min="2" max="7" width="9.5546875" style="83" customWidth="1"/>
    <col min="8" max="8" width="8.88671875" style="83"/>
    <col min="9" max="14" width="9.5546875" style="83" customWidth="1"/>
    <col min="15" max="15" width="8.88671875" style="83"/>
    <col min="16" max="21" width="9.5546875" style="83" customWidth="1"/>
    <col min="22" max="16384" width="8.88671875" style="83"/>
  </cols>
  <sheetData>
    <row r="2" spans="2:21" ht="21" customHeight="1" x14ac:dyDescent="0.3">
      <c r="B2" s="81" t="s">
        <v>133</v>
      </c>
      <c r="C2" s="72"/>
      <c r="D2" s="72"/>
      <c r="E2" s="72"/>
      <c r="F2" s="72"/>
      <c r="G2" s="82"/>
      <c r="I2" s="185" t="s">
        <v>143</v>
      </c>
      <c r="J2" s="186"/>
      <c r="K2" s="186"/>
      <c r="L2" s="186"/>
      <c r="M2" s="186"/>
      <c r="N2" s="187"/>
      <c r="P2" s="185" t="s">
        <v>150</v>
      </c>
      <c r="Q2" s="186"/>
      <c r="R2" s="186"/>
      <c r="S2" s="186"/>
      <c r="T2" s="186"/>
      <c r="U2" s="187"/>
    </row>
    <row r="3" spans="2:21" ht="21" customHeight="1" x14ac:dyDescent="0.3">
      <c r="B3" s="73" t="s">
        <v>132</v>
      </c>
      <c r="C3" s="74"/>
      <c r="D3" s="74"/>
      <c r="E3" s="74"/>
      <c r="F3" s="74"/>
      <c r="G3" s="75"/>
      <c r="I3" s="188"/>
      <c r="J3" s="189"/>
      <c r="K3" s="189"/>
      <c r="L3" s="189"/>
      <c r="M3" s="189"/>
      <c r="N3" s="190"/>
      <c r="P3" s="188"/>
      <c r="Q3" s="189"/>
      <c r="R3" s="189"/>
      <c r="S3" s="189"/>
      <c r="T3" s="189"/>
      <c r="U3" s="190"/>
    </row>
    <row r="4" spans="2:21" ht="21" customHeight="1" x14ac:dyDescent="0.3">
      <c r="B4" s="71" t="s">
        <v>138</v>
      </c>
      <c r="C4" s="67"/>
      <c r="D4" s="67"/>
      <c r="E4" s="67"/>
      <c r="F4" s="67"/>
      <c r="G4" s="68"/>
      <c r="I4" s="71" t="s">
        <v>138</v>
      </c>
      <c r="J4" s="67"/>
      <c r="K4" s="67"/>
      <c r="L4" s="67"/>
      <c r="M4" s="67"/>
      <c r="N4" s="68"/>
      <c r="P4" s="71" t="s">
        <v>138</v>
      </c>
      <c r="Q4" s="67"/>
      <c r="R4" s="67"/>
      <c r="S4" s="67"/>
      <c r="T4" s="67"/>
      <c r="U4" s="68"/>
    </row>
    <row r="5" spans="2:21" ht="59.4" customHeight="1" x14ac:dyDescent="0.3">
      <c r="B5" s="78" t="s">
        <v>134</v>
      </c>
      <c r="C5" s="79"/>
      <c r="D5" s="79"/>
      <c r="E5" s="65"/>
      <c r="F5" s="117">
        <v>3</v>
      </c>
      <c r="G5" s="69" t="s">
        <v>141</v>
      </c>
      <c r="I5" s="78" t="s">
        <v>134</v>
      </c>
      <c r="J5" s="79"/>
      <c r="K5" s="79"/>
      <c r="L5" s="65"/>
      <c r="M5" s="117">
        <v>1.5</v>
      </c>
      <c r="N5" s="69" t="s">
        <v>141</v>
      </c>
      <c r="P5" s="78" t="s">
        <v>134</v>
      </c>
      <c r="Q5" s="79"/>
      <c r="R5" s="79"/>
      <c r="S5" s="65"/>
      <c r="T5" s="117">
        <v>3</v>
      </c>
      <c r="U5" s="69" t="s">
        <v>141</v>
      </c>
    </row>
    <row r="6" spans="2:21" ht="59.4" customHeight="1" x14ac:dyDescent="0.3">
      <c r="B6" s="76" t="s">
        <v>135</v>
      </c>
      <c r="C6" s="77"/>
      <c r="D6" s="77"/>
      <c r="E6" s="70"/>
      <c r="F6" s="117">
        <v>1.5</v>
      </c>
      <c r="G6" s="69" t="s">
        <v>141</v>
      </c>
      <c r="I6" s="76" t="s">
        <v>135</v>
      </c>
      <c r="J6" s="77"/>
      <c r="K6" s="77"/>
      <c r="L6" s="70"/>
      <c r="M6" s="117">
        <v>1.5</v>
      </c>
      <c r="N6" s="69" t="s">
        <v>141</v>
      </c>
      <c r="P6" s="76" t="s">
        <v>135</v>
      </c>
      <c r="Q6" s="77"/>
      <c r="R6" s="77"/>
      <c r="S6" s="70"/>
      <c r="T6" s="117">
        <v>1</v>
      </c>
      <c r="U6" s="69" t="s">
        <v>141</v>
      </c>
    </row>
    <row r="7" spans="2:21" ht="59.4" customHeight="1" x14ac:dyDescent="0.3">
      <c r="B7" s="76" t="s">
        <v>136</v>
      </c>
      <c r="C7" s="77"/>
      <c r="D7" s="77"/>
      <c r="E7" s="70"/>
      <c r="F7" s="117">
        <v>2</v>
      </c>
      <c r="G7" s="69" t="s">
        <v>141</v>
      </c>
      <c r="I7" s="76" t="s">
        <v>136</v>
      </c>
      <c r="J7" s="77"/>
      <c r="K7" s="77"/>
      <c r="L7" s="70"/>
      <c r="M7" s="117">
        <v>1.5</v>
      </c>
      <c r="N7" s="69" t="s">
        <v>141</v>
      </c>
      <c r="P7" s="76" t="s">
        <v>136</v>
      </c>
      <c r="Q7" s="77"/>
      <c r="R7" s="77"/>
      <c r="S7" s="70"/>
      <c r="T7" s="117">
        <v>2</v>
      </c>
      <c r="U7" s="69" t="s">
        <v>141</v>
      </c>
    </row>
    <row r="8" spans="2:21" ht="59.4" customHeight="1" x14ac:dyDescent="0.3">
      <c r="B8" s="76" t="s">
        <v>137</v>
      </c>
      <c r="C8" s="77"/>
      <c r="D8" s="77"/>
      <c r="E8" s="70"/>
      <c r="F8" s="117">
        <v>2</v>
      </c>
      <c r="G8" s="80" t="s">
        <v>141</v>
      </c>
      <c r="I8" s="76" t="s">
        <v>137</v>
      </c>
      <c r="J8" s="77"/>
      <c r="K8" s="77"/>
      <c r="L8" s="70"/>
      <c r="M8" s="117">
        <v>1.5</v>
      </c>
      <c r="N8" s="80" t="s">
        <v>141</v>
      </c>
      <c r="P8" s="76" t="s">
        <v>137</v>
      </c>
      <c r="Q8" s="77"/>
      <c r="R8" s="77"/>
      <c r="S8" s="70"/>
      <c r="T8" s="117">
        <v>2</v>
      </c>
      <c r="U8" s="80" t="s">
        <v>141</v>
      </c>
    </row>
    <row r="9" spans="2:21" ht="21" customHeight="1" x14ac:dyDescent="0.3">
      <c r="B9" s="73" t="s">
        <v>140</v>
      </c>
      <c r="C9" s="66"/>
      <c r="D9" s="66"/>
      <c r="E9" s="66"/>
      <c r="F9" s="67"/>
      <c r="G9" s="68"/>
      <c r="I9" s="73" t="s">
        <v>140</v>
      </c>
      <c r="J9" s="66"/>
      <c r="K9" s="66"/>
      <c r="L9" s="66"/>
      <c r="M9" s="67"/>
      <c r="N9" s="68"/>
      <c r="P9" s="73" t="s">
        <v>140</v>
      </c>
      <c r="Q9" s="66"/>
      <c r="R9" s="66"/>
      <c r="S9" s="66"/>
      <c r="T9" s="67"/>
      <c r="U9" s="68"/>
    </row>
    <row r="10" spans="2:21" ht="59.4" customHeight="1" x14ac:dyDescent="0.3">
      <c r="B10" s="176" t="s">
        <v>139</v>
      </c>
      <c r="C10" s="177"/>
      <c r="D10" s="178" t="s">
        <v>142</v>
      </c>
      <c r="E10" s="179"/>
      <c r="F10" s="179"/>
      <c r="G10" s="180"/>
      <c r="I10" s="176" t="s">
        <v>139</v>
      </c>
      <c r="J10" s="177"/>
      <c r="K10" s="178" t="s">
        <v>148</v>
      </c>
      <c r="L10" s="179"/>
      <c r="M10" s="179"/>
      <c r="N10" s="180"/>
      <c r="P10" s="176" t="s">
        <v>156</v>
      </c>
      <c r="Q10" s="177"/>
      <c r="R10" s="178" t="s">
        <v>155</v>
      </c>
      <c r="S10" s="179"/>
      <c r="T10" s="179"/>
      <c r="U10" s="180"/>
    </row>
    <row r="11" spans="2:21" ht="21" customHeight="1" x14ac:dyDescent="0.3">
      <c r="B11" s="84" t="s">
        <v>146</v>
      </c>
      <c r="C11" s="85"/>
      <c r="D11" s="85"/>
      <c r="E11" s="85"/>
      <c r="F11" s="85"/>
      <c r="G11" s="86"/>
      <c r="I11" s="84" t="s">
        <v>146</v>
      </c>
      <c r="J11" s="85"/>
      <c r="K11" s="85"/>
      <c r="L11" s="85"/>
      <c r="M11" s="85"/>
      <c r="N11" s="86"/>
      <c r="P11" s="88" t="s">
        <v>146</v>
      </c>
      <c r="Q11" s="87"/>
      <c r="R11" s="87"/>
      <c r="S11" s="87"/>
      <c r="T11" s="87"/>
      <c r="U11" s="89"/>
    </row>
    <row r="12" spans="2:21" ht="21" customHeight="1" x14ac:dyDescent="0.3">
      <c r="B12" s="90" t="s">
        <v>144</v>
      </c>
      <c r="C12" s="91"/>
      <c r="D12" s="91"/>
      <c r="E12" s="91"/>
      <c r="F12" s="91"/>
      <c r="G12" s="92"/>
      <c r="I12" s="90" t="s">
        <v>147</v>
      </c>
      <c r="J12" s="91"/>
      <c r="K12" s="91"/>
      <c r="L12" s="91" t="str">
        <f>made_the_culc</f>
        <v xml:space="preserve">Андрій БЕЧКАЛО </v>
      </c>
      <c r="M12" s="91"/>
      <c r="N12" s="92"/>
      <c r="P12" s="104"/>
      <c r="Q12" s="105"/>
      <c r="R12" s="105"/>
      <c r="S12" s="105"/>
      <c r="T12" s="105"/>
      <c r="U12" s="106"/>
    </row>
    <row r="13" spans="2:21" ht="21" customHeight="1" x14ac:dyDescent="0.3">
      <c r="B13" s="93" t="s">
        <v>145</v>
      </c>
      <c r="C13" s="94"/>
      <c r="D13" s="94"/>
      <c r="E13" s="181" t="str">
        <f>$D$10</f>
        <v>Бухгалтер II кат. Лілія КОЦЮБА</v>
      </c>
      <c r="F13" s="181"/>
      <c r="G13" s="182"/>
      <c r="I13" s="100"/>
      <c r="J13" s="94"/>
      <c r="K13" s="94"/>
      <c r="L13" s="94"/>
      <c r="M13" s="94"/>
      <c r="N13" s="101"/>
      <c r="P13" s="107"/>
      <c r="Q13" s="108"/>
      <c r="R13" s="109"/>
      <c r="S13" s="110" t="str">
        <f>$R$10</f>
        <v>Євген ЛИТВИНЮК</v>
      </c>
      <c r="T13" s="110"/>
      <c r="U13" s="111"/>
    </row>
    <row r="14" spans="2:21" ht="21" customHeight="1" x14ac:dyDescent="0.3">
      <c r="B14" s="95" t="s">
        <v>152</v>
      </c>
      <c r="C14" s="96"/>
      <c r="D14" s="97"/>
      <c r="E14" s="98" t="s">
        <v>151</v>
      </c>
      <c r="F14" s="98"/>
      <c r="G14" s="99"/>
      <c r="I14" s="102" t="s">
        <v>149</v>
      </c>
      <c r="J14" s="103"/>
      <c r="K14" s="97"/>
      <c r="L14" s="97"/>
      <c r="M14" s="183" t="str">
        <f>$K$10</f>
        <v>Лілія КОЦЮБА</v>
      </c>
      <c r="N14" s="184"/>
      <c r="P14" s="112" t="s">
        <v>153</v>
      </c>
      <c r="Q14" s="113"/>
      <c r="R14" s="114"/>
      <c r="S14" s="115" t="s">
        <v>154</v>
      </c>
      <c r="T14" s="113"/>
      <c r="U14" s="116"/>
    </row>
  </sheetData>
  <sheetProtection selectLockedCells="1"/>
  <mergeCells count="10">
    <mergeCell ref="B10:C10"/>
    <mergeCell ref="D10:G10"/>
    <mergeCell ref="E13:G13"/>
    <mergeCell ref="M14:N14"/>
    <mergeCell ref="P2:U3"/>
    <mergeCell ref="P10:Q10"/>
    <mergeCell ref="R10:U10"/>
    <mergeCell ref="I10:J10"/>
    <mergeCell ref="K10:N10"/>
    <mergeCell ref="I2:N3"/>
  </mergeCells>
  <dataValidations count="2">
    <dataValidation type="decimal" operator="greaterThanOrEqual" allowBlank="1" showInputMessage="1" showErrorMessage="1" errorTitle="Негативне число" error="Числа з негативним значенням, не допускаються. " sqref="F5:F8 M5:M8 T5:T8">
      <formula1>0</formula1>
    </dataValidation>
    <dataValidation operator="greaterThanOrEqual" allowBlank="1" showInputMessage="1" showErrorMessage="1" sqref="D10:G10 K10:N10 R10:U10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Go_to_data_base">
                <anchor moveWithCells="1">
                  <from>
                    <xdr:col>22</xdr:col>
                    <xdr:colOff>0</xdr:colOff>
                    <xdr:row>1</xdr:row>
                    <xdr:rowOff>0</xdr:rowOff>
                  </from>
                  <to>
                    <xdr:col>23</xdr:col>
                    <xdr:colOff>541020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Go_to_calculation">
                <anchor moveWithCells="1" sizeWithCells="1">
                  <from>
                    <xdr:col>24</xdr:col>
                    <xdr:colOff>45720</xdr:colOff>
                    <xdr:row>1</xdr:row>
                    <xdr:rowOff>0</xdr:rowOff>
                  </from>
                  <to>
                    <xdr:col>25</xdr:col>
                    <xdr:colOff>586740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0" tint="-0.14999847407452621"/>
  </sheetPr>
  <dimension ref="A1:D291"/>
  <sheetViews>
    <sheetView tabSelected="1" zoomScaleNormal="100" workbookViewId="0">
      <pane ySplit="1" topLeftCell="A71" activePane="bottomLeft" state="frozen"/>
      <selection pane="bottomLeft" activeCell="E84" sqref="E84"/>
    </sheetView>
  </sheetViews>
  <sheetFormatPr defaultRowHeight="13.8" x14ac:dyDescent="0.25"/>
  <cols>
    <col min="1" max="1" width="9" style="21" customWidth="1"/>
    <col min="2" max="2" width="10.77734375" style="21" customWidth="1"/>
    <col min="3" max="3" width="104.77734375" style="24" customWidth="1"/>
    <col min="4" max="4" width="14" style="21" customWidth="1"/>
    <col min="5" max="16384" width="8.88671875" style="20"/>
  </cols>
  <sheetData>
    <row r="1" spans="1:4" s="19" customFormat="1" ht="14.4" x14ac:dyDescent="0.3">
      <c r="A1" s="23" t="s">
        <v>18</v>
      </c>
      <c r="B1" s="23" t="s">
        <v>79</v>
      </c>
      <c r="C1" s="23" t="s">
        <v>80</v>
      </c>
      <c r="D1" s="23" t="s">
        <v>81</v>
      </c>
    </row>
    <row r="2" spans="1:4" ht="27.6" customHeight="1" x14ac:dyDescent="0.25">
      <c r="A2" s="21">
        <v>1</v>
      </c>
      <c r="B2" s="22">
        <v>44790</v>
      </c>
      <c r="C2" s="24" t="s">
        <v>86</v>
      </c>
      <c r="D2" s="25" t="s">
        <v>91</v>
      </c>
    </row>
    <row r="3" spans="1:4" ht="27.6" customHeight="1" x14ac:dyDescent="0.25">
      <c r="A3" s="21">
        <v>2</v>
      </c>
      <c r="B3" s="22">
        <v>44790</v>
      </c>
      <c r="C3" s="24" t="s">
        <v>82</v>
      </c>
      <c r="D3" s="25" t="s">
        <v>91</v>
      </c>
    </row>
    <row r="4" spans="1:4" ht="27.6" customHeight="1" x14ac:dyDescent="0.25">
      <c r="A4" s="21">
        <v>3</v>
      </c>
      <c r="B4" s="22">
        <v>44790</v>
      </c>
      <c r="C4" s="24" t="s">
        <v>83</v>
      </c>
      <c r="D4" s="25" t="s">
        <v>91</v>
      </c>
    </row>
    <row r="5" spans="1:4" ht="27.6" customHeight="1" x14ac:dyDescent="0.25">
      <c r="A5" s="21">
        <v>4</v>
      </c>
      <c r="B5" s="22">
        <v>44790</v>
      </c>
      <c r="C5" s="24" t="s">
        <v>84</v>
      </c>
      <c r="D5" s="25" t="s">
        <v>91</v>
      </c>
    </row>
    <row r="6" spans="1:4" ht="27.6" customHeight="1" x14ac:dyDescent="0.25">
      <c r="A6" s="21">
        <v>5</v>
      </c>
      <c r="B6" s="22">
        <v>44790</v>
      </c>
      <c r="C6" s="24" t="s">
        <v>85</v>
      </c>
      <c r="D6" s="25" t="s">
        <v>91</v>
      </c>
    </row>
    <row r="7" spans="1:4" ht="27.6" customHeight="1" x14ac:dyDescent="0.25">
      <c r="A7" s="21">
        <v>6</v>
      </c>
      <c r="B7" s="22">
        <v>44790</v>
      </c>
      <c r="C7" s="24" t="s">
        <v>131</v>
      </c>
      <c r="D7" s="25" t="s">
        <v>91</v>
      </c>
    </row>
    <row r="8" spans="1:4" ht="27.6" customHeight="1" x14ac:dyDescent="0.25">
      <c r="A8" s="21">
        <v>7</v>
      </c>
      <c r="B8" s="22">
        <v>44790</v>
      </c>
      <c r="C8" s="24" t="s">
        <v>88</v>
      </c>
      <c r="D8" s="25" t="s">
        <v>91</v>
      </c>
    </row>
    <row r="9" spans="1:4" ht="27.6" customHeight="1" x14ac:dyDescent="0.25">
      <c r="A9" s="21">
        <v>8</v>
      </c>
      <c r="B9" s="22">
        <v>44790</v>
      </c>
      <c r="C9" s="24" t="s">
        <v>87</v>
      </c>
      <c r="D9" s="25" t="s">
        <v>91</v>
      </c>
    </row>
    <row r="10" spans="1:4" ht="27.6" customHeight="1" x14ac:dyDescent="0.25">
      <c r="A10" s="21">
        <v>9</v>
      </c>
      <c r="B10" s="22">
        <v>44790</v>
      </c>
      <c r="C10" s="24" t="s">
        <v>157</v>
      </c>
      <c r="D10" s="25" t="s">
        <v>91</v>
      </c>
    </row>
    <row r="11" spans="1:4" ht="27.6" customHeight="1" x14ac:dyDescent="0.25">
      <c r="A11" s="21">
        <v>10</v>
      </c>
      <c r="B11" s="22">
        <v>44790</v>
      </c>
      <c r="C11" s="24" t="s">
        <v>89</v>
      </c>
      <c r="D11" s="25" t="s">
        <v>91</v>
      </c>
    </row>
    <row r="12" spans="1:4" ht="27.6" customHeight="1" x14ac:dyDescent="0.25">
      <c r="A12" s="21">
        <v>11</v>
      </c>
      <c r="B12" s="22">
        <v>44790</v>
      </c>
      <c r="C12" s="24" t="s">
        <v>90</v>
      </c>
      <c r="D12" s="25" t="s">
        <v>91</v>
      </c>
    </row>
    <row r="13" spans="1:4" ht="27.6" customHeight="1" x14ac:dyDescent="0.25">
      <c r="A13" s="21">
        <v>12</v>
      </c>
      <c r="B13" s="22">
        <v>44790</v>
      </c>
      <c r="C13" s="24" t="s">
        <v>92</v>
      </c>
      <c r="D13" s="25" t="s">
        <v>180</v>
      </c>
    </row>
    <row r="14" spans="1:4" ht="27.6" customHeight="1" x14ac:dyDescent="0.25">
      <c r="A14" s="21">
        <v>13</v>
      </c>
      <c r="B14" s="22">
        <v>44790</v>
      </c>
      <c r="C14" s="24" t="s">
        <v>158</v>
      </c>
      <c r="D14" s="25" t="s">
        <v>180</v>
      </c>
    </row>
    <row r="15" spans="1:4" ht="27.6" customHeight="1" x14ac:dyDescent="0.25">
      <c r="A15" s="21">
        <v>14</v>
      </c>
      <c r="B15" s="22">
        <v>44790</v>
      </c>
      <c r="C15" s="24" t="s">
        <v>159</v>
      </c>
      <c r="D15" s="25" t="s">
        <v>180</v>
      </c>
    </row>
    <row r="16" spans="1:4" ht="27.6" customHeight="1" x14ac:dyDescent="0.25">
      <c r="A16" s="21">
        <v>15</v>
      </c>
      <c r="B16" s="22">
        <v>44790</v>
      </c>
      <c r="C16" s="24" t="s">
        <v>128</v>
      </c>
      <c r="D16" s="25" t="s">
        <v>180</v>
      </c>
    </row>
    <row r="17" spans="1:4" ht="27.6" customHeight="1" x14ac:dyDescent="0.25">
      <c r="A17" s="21">
        <v>16</v>
      </c>
      <c r="B17" s="22">
        <v>44790</v>
      </c>
      <c r="C17" s="24" t="s">
        <v>94</v>
      </c>
      <c r="D17" s="25" t="s">
        <v>181</v>
      </c>
    </row>
    <row r="18" spans="1:4" ht="27.6" customHeight="1" x14ac:dyDescent="0.25">
      <c r="A18" s="21">
        <v>17</v>
      </c>
      <c r="B18" s="22">
        <v>44790</v>
      </c>
      <c r="C18" s="24" t="s">
        <v>95</v>
      </c>
      <c r="D18" s="25" t="s">
        <v>181</v>
      </c>
    </row>
    <row r="19" spans="1:4" ht="27.6" customHeight="1" x14ac:dyDescent="0.25">
      <c r="A19" s="21">
        <v>18</v>
      </c>
      <c r="B19" s="22">
        <v>44790</v>
      </c>
      <c r="C19" s="24" t="s">
        <v>96</v>
      </c>
      <c r="D19" s="25" t="s">
        <v>181</v>
      </c>
    </row>
    <row r="20" spans="1:4" ht="27.6" customHeight="1" x14ac:dyDescent="0.25">
      <c r="A20" s="21">
        <v>19</v>
      </c>
      <c r="B20" s="22">
        <v>44790</v>
      </c>
      <c r="C20" s="24" t="s">
        <v>97</v>
      </c>
      <c r="D20" s="25" t="s">
        <v>181</v>
      </c>
    </row>
    <row r="21" spans="1:4" ht="27.6" customHeight="1" x14ac:dyDescent="0.25">
      <c r="A21" s="21">
        <v>20</v>
      </c>
      <c r="B21" s="22">
        <v>44790</v>
      </c>
      <c r="C21" s="24" t="s">
        <v>98</v>
      </c>
      <c r="D21" s="25" t="s">
        <v>182</v>
      </c>
    </row>
    <row r="22" spans="1:4" ht="27.6" customHeight="1" x14ac:dyDescent="0.25">
      <c r="A22" s="21">
        <v>21</v>
      </c>
      <c r="B22" s="22">
        <v>44790</v>
      </c>
      <c r="C22" s="24" t="s">
        <v>99</v>
      </c>
      <c r="D22" s="25" t="s">
        <v>182</v>
      </c>
    </row>
    <row r="23" spans="1:4" ht="27.6" customHeight="1" x14ac:dyDescent="0.25">
      <c r="A23" s="21">
        <v>22</v>
      </c>
      <c r="B23" s="22">
        <v>44790</v>
      </c>
      <c r="C23" s="24" t="s">
        <v>100</v>
      </c>
      <c r="D23" s="25" t="s">
        <v>182</v>
      </c>
    </row>
    <row r="24" spans="1:4" ht="27.6" customHeight="1" x14ac:dyDescent="0.25">
      <c r="A24" s="21">
        <v>23</v>
      </c>
      <c r="B24" s="22">
        <v>44798</v>
      </c>
      <c r="C24" s="24" t="s">
        <v>105</v>
      </c>
      <c r="D24" s="25" t="s">
        <v>183</v>
      </c>
    </row>
    <row r="25" spans="1:4" ht="27.6" customHeight="1" x14ac:dyDescent="0.25">
      <c r="A25" s="21">
        <v>24</v>
      </c>
      <c r="B25" s="22">
        <v>44798</v>
      </c>
      <c r="C25" s="24" t="s">
        <v>106</v>
      </c>
      <c r="D25" s="25" t="s">
        <v>183</v>
      </c>
    </row>
    <row r="26" spans="1:4" ht="27.6" customHeight="1" x14ac:dyDescent="0.25">
      <c r="A26" s="21">
        <v>25</v>
      </c>
      <c r="B26" s="22">
        <v>44798</v>
      </c>
      <c r="C26" s="24" t="s">
        <v>107</v>
      </c>
      <c r="D26" s="25" t="s">
        <v>183</v>
      </c>
    </row>
    <row r="27" spans="1:4" ht="27.6" customHeight="1" x14ac:dyDescent="0.25">
      <c r="A27" s="21">
        <v>26</v>
      </c>
      <c r="B27" s="22">
        <v>44811</v>
      </c>
      <c r="C27" s="24" t="s">
        <v>111</v>
      </c>
      <c r="D27" s="25" t="s">
        <v>184</v>
      </c>
    </row>
    <row r="28" spans="1:4" ht="27.6" customHeight="1" x14ac:dyDescent="0.25">
      <c r="A28" s="21">
        <v>27</v>
      </c>
      <c r="B28" s="22">
        <v>44811</v>
      </c>
      <c r="C28" s="24" t="s">
        <v>112</v>
      </c>
      <c r="D28" s="25" t="s">
        <v>184</v>
      </c>
    </row>
    <row r="29" spans="1:4" ht="27.6" customHeight="1" x14ac:dyDescent="0.25">
      <c r="A29" s="21">
        <v>28</v>
      </c>
      <c r="B29" s="22">
        <v>44811</v>
      </c>
      <c r="C29" s="24" t="s">
        <v>113</v>
      </c>
      <c r="D29" s="25" t="s">
        <v>184</v>
      </c>
    </row>
    <row r="30" spans="1:4" ht="27.6" customHeight="1" x14ac:dyDescent="0.25">
      <c r="A30" s="21">
        <v>29</v>
      </c>
      <c r="B30" s="22">
        <v>44817</v>
      </c>
      <c r="C30" s="24" t="s">
        <v>115</v>
      </c>
      <c r="D30" s="25" t="s">
        <v>185</v>
      </c>
    </row>
    <row r="31" spans="1:4" ht="27.6" customHeight="1" x14ac:dyDescent="0.25">
      <c r="A31" s="21">
        <v>30</v>
      </c>
      <c r="B31" s="22">
        <v>44817</v>
      </c>
      <c r="C31" s="24" t="s">
        <v>127</v>
      </c>
      <c r="D31" s="25" t="s">
        <v>185</v>
      </c>
    </row>
    <row r="32" spans="1:4" ht="27.6" customHeight="1" x14ac:dyDescent="0.25">
      <c r="A32" s="21">
        <v>31</v>
      </c>
      <c r="B32" s="22">
        <v>44817</v>
      </c>
      <c r="C32" s="24" t="s">
        <v>130</v>
      </c>
      <c r="D32" s="25" t="s">
        <v>185</v>
      </c>
    </row>
    <row r="33" spans="1:4" ht="27.6" customHeight="1" x14ac:dyDescent="0.25">
      <c r="A33" s="21">
        <v>32</v>
      </c>
      <c r="B33" s="22">
        <v>44817</v>
      </c>
      <c r="C33" s="24" t="s">
        <v>129</v>
      </c>
      <c r="D33" s="25" t="s">
        <v>185</v>
      </c>
    </row>
    <row r="34" spans="1:4" ht="27.6" customHeight="1" x14ac:dyDescent="0.25">
      <c r="A34" s="21">
        <v>33</v>
      </c>
      <c r="B34" s="22">
        <v>44820</v>
      </c>
      <c r="C34" s="24" t="s">
        <v>160</v>
      </c>
      <c r="D34" s="25" t="s">
        <v>186</v>
      </c>
    </row>
    <row r="35" spans="1:4" ht="27.6" customHeight="1" x14ac:dyDescent="0.25">
      <c r="A35" s="21">
        <v>34</v>
      </c>
      <c r="B35" s="22">
        <v>44820</v>
      </c>
      <c r="C35" s="24" t="s">
        <v>163</v>
      </c>
      <c r="D35" s="25" t="s">
        <v>186</v>
      </c>
    </row>
    <row r="36" spans="1:4" ht="27.6" customHeight="1" x14ac:dyDescent="0.25">
      <c r="A36" s="21">
        <v>35</v>
      </c>
      <c r="B36" s="22">
        <v>44820</v>
      </c>
      <c r="C36" s="24" t="s">
        <v>161</v>
      </c>
      <c r="D36" s="25" t="s">
        <v>186</v>
      </c>
    </row>
    <row r="37" spans="1:4" ht="27.6" customHeight="1" x14ac:dyDescent="0.25">
      <c r="A37" s="21">
        <v>36</v>
      </c>
      <c r="B37" s="22">
        <v>44820</v>
      </c>
      <c r="C37" s="24" t="s">
        <v>162</v>
      </c>
      <c r="D37" s="25" t="s">
        <v>186</v>
      </c>
    </row>
    <row r="38" spans="1:4" ht="27.6" customHeight="1" x14ac:dyDescent="0.25">
      <c r="A38" s="21">
        <v>37</v>
      </c>
      <c r="B38" s="22">
        <v>44820</v>
      </c>
      <c r="C38" s="24" t="s">
        <v>164</v>
      </c>
      <c r="D38" s="25" t="s">
        <v>186</v>
      </c>
    </row>
    <row r="39" spans="1:4" ht="27.6" customHeight="1" x14ac:dyDescent="0.25">
      <c r="A39" s="21">
        <v>38</v>
      </c>
      <c r="B39" s="22">
        <v>44820</v>
      </c>
      <c r="C39" s="24" t="s">
        <v>165</v>
      </c>
      <c r="D39" s="25" t="s">
        <v>186</v>
      </c>
    </row>
    <row r="40" spans="1:4" ht="27.6" customHeight="1" x14ac:dyDescent="0.25">
      <c r="A40" s="21">
        <v>39</v>
      </c>
      <c r="B40" s="22">
        <v>44820</v>
      </c>
      <c r="C40" s="24" t="s">
        <v>166</v>
      </c>
      <c r="D40" s="25" t="s">
        <v>186</v>
      </c>
    </row>
    <row r="41" spans="1:4" ht="27.6" customHeight="1" x14ac:dyDescent="0.25">
      <c r="A41" s="21">
        <v>40</v>
      </c>
      <c r="B41" s="22">
        <v>44820</v>
      </c>
      <c r="C41" s="24" t="s">
        <v>168</v>
      </c>
      <c r="D41" s="25" t="s">
        <v>186</v>
      </c>
    </row>
    <row r="42" spans="1:4" ht="27.6" customHeight="1" x14ac:dyDescent="0.25">
      <c r="A42" s="21">
        <v>41</v>
      </c>
      <c r="B42" s="22">
        <v>44820</v>
      </c>
      <c r="C42" s="24" t="s">
        <v>169</v>
      </c>
      <c r="D42" s="25" t="s">
        <v>186</v>
      </c>
    </row>
    <row r="43" spans="1:4" ht="27.6" customHeight="1" x14ac:dyDescent="0.25">
      <c r="A43" s="21">
        <v>42</v>
      </c>
      <c r="B43" s="22">
        <v>44820</v>
      </c>
      <c r="C43" s="24" t="s">
        <v>170</v>
      </c>
      <c r="D43" s="25" t="s">
        <v>186</v>
      </c>
    </row>
    <row r="44" spans="1:4" ht="27.6" customHeight="1" x14ac:dyDescent="0.25">
      <c r="A44" s="21">
        <v>43</v>
      </c>
      <c r="B44" s="22">
        <v>44820</v>
      </c>
      <c r="C44" s="24" t="s">
        <v>171</v>
      </c>
      <c r="D44" s="25" t="s">
        <v>186</v>
      </c>
    </row>
    <row r="45" spans="1:4" ht="27.6" customHeight="1" x14ac:dyDescent="0.25">
      <c r="A45" s="21">
        <v>44</v>
      </c>
      <c r="B45" s="22">
        <v>44820</v>
      </c>
      <c r="C45" s="24" t="s">
        <v>172</v>
      </c>
      <c r="D45" s="25" t="s">
        <v>186</v>
      </c>
    </row>
    <row r="46" spans="1:4" ht="27.6" customHeight="1" x14ac:dyDescent="0.25">
      <c r="A46" s="21">
        <v>45</v>
      </c>
      <c r="B46" s="22">
        <v>44820</v>
      </c>
      <c r="C46" s="24" t="s">
        <v>174</v>
      </c>
      <c r="D46" s="25" t="s">
        <v>186</v>
      </c>
    </row>
    <row r="47" spans="1:4" ht="27.6" customHeight="1" x14ac:dyDescent="0.25">
      <c r="A47" s="21">
        <v>46</v>
      </c>
      <c r="B47" s="22">
        <v>44820</v>
      </c>
      <c r="C47" s="122" t="s">
        <v>173</v>
      </c>
      <c r="D47" s="25" t="s">
        <v>186</v>
      </c>
    </row>
    <row r="48" spans="1:4" ht="27.6" customHeight="1" x14ac:dyDescent="0.25">
      <c r="A48" s="21">
        <v>47</v>
      </c>
      <c r="B48" s="22">
        <v>44820</v>
      </c>
      <c r="C48" s="24" t="s">
        <v>175</v>
      </c>
      <c r="D48" s="25" t="s">
        <v>186</v>
      </c>
    </row>
    <row r="49" spans="1:4" ht="27.6" customHeight="1" x14ac:dyDescent="0.25">
      <c r="A49" s="21">
        <v>48</v>
      </c>
      <c r="B49" s="22">
        <v>44820</v>
      </c>
      <c r="C49" s="24" t="s">
        <v>176</v>
      </c>
      <c r="D49" s="25" t="s">
        <v>186</v>
      </c>
    </row>
    <row r="50" spans="1:4" ht="27.6" customHeight="1" x14ac:dyDescent="0.25">
      <c r="A50" s="21">
        <v>49</v>
      </c>
      <c r="B50" s="22">
        <v>44820</v>
      </c>
      <c r="C50" s="24" t="s">
        <v>177</v>
      </c>
      <c r="D50" s="25" t="s">
        <v>186</v>
      </c>
    </row>
    <row r="51" spans="1:4" ht="27.6" customHeight="1" x14ac:dyDescent="0.25">
      <c r="A51" s="21">
        <v>50</v>
      </c>
      <c r="B51" s="22">
        <v>44820</v>
      </c>
      <c r="C51" s="24" t="s">
        <v>178</v>
      </c>
      <c r="D51" s="25" t="s">
        <v>186</v>
      </c>
    </row>
    <row r="52" spans="1:4" ht="27.6" customHeight="1" x14ac:dyDescent="0.25">
      <c r="A52" s="21">
        <v>51</v>
      </c>
      <c r="B52" s="22">
        <v>44820</v>
      </c>
      <c r="C52" s="24" t="s">
        <v>179</v>
      </c>
      <c r="D52" s="25" t="s">
        <v>186</v>
      </c>
    </row>
    <row r="53" spans="1:4" ht="27.6" customHeight="1" x14ac:dyDescent="0.25">
      <c r="A53" s="21">
        <v>52</v>
      </c>
      <c r="B53" s="22">
        <v>44820</v>
      </c>
      <c r="C53" s="24" t="s">
        <v>189</v>
      </c>
      <c r="D53" s="25" t="s">
        <v>186</v>
      </c>
    </row>
    <row r="54" spans="1:4" ht="27.6" customHeight="1" x14ac:dyDescent="0.25">
      <c r="A54" s="21">
        <v>53</v>
      </c>
      <c r="B54" s="22">
        <v>44820</v>
      </c>
      <c r="C54" s="24" t="s">
        <v>188</v>
      </c>
      <c r="D54" s="25" t="s">
        <v>186</v>
      </c>
    </row>
    <row r="55" spans="1:4" ht="27.6" customHeight="1" x14ac:dyDescent="0.25">
      <c r="A55" s="21">
        <v>54</v>
      </c>
      <c r="B55" s="22">
        <v>44820</v>
      </c>
      <c r="C55" s="24" t="s">
        <v>187</v>
      </c>
      <c r="D55" s="25" t="s">
        <v>186</v>
      </c>
    </row>
    <row r="56" spans="1:4" ht="27.6" customHeight="1" x14ac:dyDescent="0.25">
      <c r="A56" s="21">
        <v>55</v>
      </c>
      <c r="B56" s="22">
        <v>44820</v>
      </c>
      <c r="C56" s="24" t="s">
        <v>190</v>
      </c>
      <c r="D56" s="25" t="s">
        <v>186</v>
      </c>
    </row>
    <row r="57" spans="1:4" ht="27.6" customHeight="1" x14ac:dyDescent="0.25">
      <c r="A57" s="21">
        <v>56</v>
      </c>
      <c r="B57" s="22">
        <v>44820</v>
      </c>
      <c r="C57" s="24" t="s">
        <v>210</v>
      </c>
      <c r="D57" s="25" t="s">
        <v>186</v>
      </c>
    </row>
    <row r="58" spans="1:4" ht="27.6" customHeight="1" x14ac:dyDescent="0.25">
      <c r="A58" s="21">
        <v>57</v>
      </c>
      <c r="B58" s="22">
        <v>44821</v>
      </c>
      <c r="C58" s="24" t="s">
        <v>193</v>
      </c>
      <c r="D58" s="25" t="s">
        <v>191</v>
      </c>
    </row>
    <row r="59" spans="1:4" ht="27.6" customHeight="1" x14ac:dyDescent="0.25">
      <c r="A59" s="21">
        <v>58</v>
      </c>
      <c r="B59" s="22">
        <v>44821</v>
      </c>
      <c r="C59" s="24" t="s">
        <v>194</v>
      </c>
      <c r="D59" s="25" t="s">
        <v>191</v>
      </c>
    </row>
    <row r="60" spans="1:4" ht="27.6" customHeight="1" x14ac:dyDescent="0.25">
      <c r="A60" s="21">
        <v>59</v>
      </c>
      <c r="B60" s="22">
        <v>44821</v>
      </c>
      <c r="C60" s="24" t="s">
        <v>195</v>
      </c>
      <c r="D60" s="25" t="s">
        <v>191</v>
      </c>
    </row>
    <row r="61" spans="1:4" ht="27.6" customHeight="1" x14ac:dyDescent="0.25">
      <c r="A61" s="21">
        <v>60</v>
      </c>
      <c r="B61" s="22">
        <v>44821</v>
      </c>
      <c r="C61" s="24" t="s">
        <v>196</v>
      </c>
      <c r="D61" s="25" t="s">
        <v>191</v>
      </c>
    </row>
    <row r="62" spans="1:4" ht="27.6" customHeight="1" x14ac:dyDescent="0.25">
      <c r="A62" s="21">
        <v>61</v>
      </c>
      <c r="B62" s="22">
        <v>44821</v>
      </c>
      <c r="C62" s="24" t="s">
        <v>197</v>
      </c>
      <c r="D62" s="25" t="s">
        <v>191</v>
      </c>
    </row>
    <row r="63" spans="1:4" ht="27.6" customHeight="1" x14ac:dyDescent="0.25">
      <c r="A63" s="21">
        <v>62</v>
      </c>
      <c r="B63" s="22">
        <v>44821</v>
      </c>
      <c r="C63" s="24" t="s">
        <v>192</v>
      </c>
      <c r="D63" s="25" t="s">
        <v>191</v>
      </c>
    </row>
    <row r="64" spans="1:4" ht="27.6" customHeight="1" x14ac:dyDescent="0.25">
      <c r="A64" s="21">
        <v>63</v>
      </c>
      <c r="B64" s="22">
        <v>44821</v>
      </c>
      <c r="C64" s="24" t="s">
        <v>198</v>
      </c>
      <c r="D64" s="25" t="s">
        <v>191</v>
      </c>
    </row>
    <row r="65" spans="1:4" ht="27.6" customHeight="1" x14ac:dyDescent="0.25">
      <c r="A65" s="21">
        <v>64</v>
      </c>
      <c r="B65" s="22">
        <v>44821</v>
      </c>
      <c r="C65" s="24" t="s">
        <v>199</v>
      </c>
      <c r="D65" s="25" t="s">
        <v>191</v>
      </c>
    </row>
    <row r="66" spans="1:4" ht="27.6" customHeight="1" x14ac:dyDescent="0.25">
      <c r="A66" s="21">
        <v>65</v>
      </c>
      <c r="B66" s="22">
        <v>44821</v>
      </c>
      <c r="C66" s="24" t="s">
        <v>200</v>
      </c>
      <c r="D66" s="25" t="s">
        <v>191</v>
      </c>
    </row>
    <row r="67" spans="1:4" ht="27.6" customHeight="1" x14ac:dyDescent="0.25">
      <c r="A67" s="21">
        <v>66</v>
      </c>
      <c r="B67" s="22">
        <v>44821</v>
      </c>
      <c r="C67" s="24" t="s">
        <v>201</v>
      </c>
      <c r="D67" s="25" t="s">
        <v>191</v>
      </c>
    </row>
    <row r="68" spans="1:4" ht="27.6" customHeight="1" x14ac:dyDescent="0.25">
      <c r="A68" s="21">
        <v>67</v>
      </c>
      <c r="B68" s="22">
        <v>44821</v>
      </c>
      <c r="C68" s="24" t="s">
        <v>202</v>
      </c>
      <c r="D68" s="25" t="s">
        <v>191</v>
      </c>
    </row>
    <row r="69" spans="1:4" ht="27.6" customHeight="1" x14ac:dyDescent="0.25">
      <c r="A69" s="21">
        <v>68</v>
      </c>
      <c r="B69" s="22">
        <v>44821</v>
      </c>
      <c r="C69" s="24" t="s">
        <v>203</v>
      </c>
      <c r="D69" s="25" t="s">
        <v>191</v>
      </c>
    </row>
    <row r="70" spans="1:4" ht="27.6" customHeight="1" x14ac:dyDescent="0.25">
      <c r="A70" s="21">
        <v>69</v>
      </c>
      <c r="B70" s="22">
        <v>44821</v>
      </c>
      <c r="C70" s="24" t="s">
        <v>204</v>
      </c>
      <c r="D70" s="25" t="s">
        <v>191</v>
      </c>
    </row>
    <row r="71" spans="1:4" ht="27.6" customHeight="1" x14ac:dyDescent="0.25">
      <c r="A71" s="21">
        <v>70</v>
      </c>
      <c r="B71" s="22">
        <v>44821</v>
      </c>
      <c r="C71" s="24" t="s">
        <v>205</v>
      </c>
      <c r="D71" s="25" t="s">
        <v>191</v>
      </c>
    </row>
    <row r="72" spans="1:4" ht="27.6" customHeight="1" x14ac:dyDescent="0.25">
      <c r="A72" s="21">
        <v>71</v>
      </c>
      <c r="B72" s="22">
        <v>44821</v>
      </c>
      <c r="C72" s="24" t="s">
        <v>206</v>
      </c>
      <c r="D72" s="25" t="s">
        <v>191</v>
      </c>
    </row>
    <row r="73" spans="1:4" ht="27.6" customHeight="1" x14ac:dyDescent="0.25">
      <c r="A73" s="21">
        <v>72</v>
      </c>
      <c r="B73" s="22">
        <v>44821</v>
      </c>
      <c r="C73" s="24" t="s">
        <v>207</v>
      </c>
      <c r="D73" s="25" t="s">
        <v>191</v>
      </c>
    </row>
    <row r="74" spans="1:4" ht="27.6" customHeight="1" x14ac:dyDescent="0.25">
      <c r="A74" s="21">
        <v>73</v>
      </c>
      <c r="B74" s="22">
        <v>44821</v>
      </c>
      <c r="C74" s="24" t="s">
        <v>208</v>
      </c>
      <c r="D74" s="25" t="s">
        <v>191</v>
      </c>
    </row>
    <row r="75" spans="1:4" ht="27.6" customHeight="1" x14ac:dyDescent="0.25">
      <c r="A75" s="21">
        <v>74</v>
      </c>
      <c r="B75" s="22">
        <v>44821</v>
      </c>
      <c r="C75" s="24" t="s">
        <v>209</v>
      </c>
      <c r="D75" s="25" t="s">
        <v>191</v>
      </c>
    </row>
    <row r="76" spans="1:4" ht="27.6" customHeight="1" x14ac:dyDescent="0.25">
      <c r="A76" s="21">
        <v>75</v>
      </c>
      <c r="B76" s="22">
        <v>44821</v>
      </c>
      <c r="C76" s="24" t="s">
        <v>211</v>
      </c>
      <c r="D76" s="25" t="s">
        <v>191</v>
      </c>
    </row>
    <row r="77" spans="1:4" ht="27.6" customHeight="1" x14ac:dyDescent="0.25">
      <c r="A77" s="21">
        <v>76</v>
      </c>
      <c r="B77" s="22">
        <v>44822</v>
      </c>
      <c r="C77" s="24" t="s">
        <v>212</v>
      </c>
      <c r="D77" s="25" t="s">
        <v>191</v>
      </c>
    </row>
    <row r="78" spans="1:4" ht="27.6" customHeight="1" x14ac:dyDescent="0.25">
      <c r="A78" s="21">
        <v>77</v>
      </c>
      <c r="B78" s="22">
        <v>44822</v>
      </c>
      <c r="C78" s="24" t="s">
        <v>213</v>
      </c>
      <c r="D78" s="25" t="s">
        <v>191</v>
      </c>
    </row>
    <row r="79" spans="1:4" ht="27.6" customHeight="1" x14ac:dyDescent="0.25">
      <c r="A79" s="21">
        <v>78</v>
      </c>
      <c r="B79" s="22">
        <v>44822</v>
      </c>
      <c r="C79" s="24" t="s">
        <v>214</v>
      </c>
      <c r="D79" s="25" t="s">
        <v>191</v>
      </c>
    </row>
    <row r="80" spans="1:4" ht="27.6" customHeight="1" x14ac:dyDescent="0.25">
      <c r="A80" s="21">
        <v>79</v>
      </c>
      <c r="B80" s="22">
        <v>44823</v>
      </c>
      <c r="C80" s="24" t="s">
        <v>216</v>
      </c>
      <c r="D80" s="25" t="s">
        <v>217</v>
      </c>
    </row>
    <row r="81" spans="1:4" ht="27.6" customHeight="1" x14ac:dyDescent="0.25">
      <c r="A81" s="21">
        <v>80</v>
      </c>
      <c r="B81" s="22">
        <v>44829</v>
      </c>
      <c r="C81" s="24" t="s">
        <v>219</v>
      </c>
      <c r="D81" s="25" t="s">
        <v>220</v>
      </c>
    </row>
    <row r="82" spans="1:4" ht="27.6" customHeight="1" x14ac:dyDescent="0.25">
      <c r="A82" s="21">
        <v>81</v>
      </c>
      <c r="B82" s="22">
        <v>44833</v>
      </c>
      <c r="C82" s="24" t="s">
        <v>225</v>
      </c>
      <c r="D82" s="25" t="s">
        <v>220</v>
      </c>
    </row>
    <row r="83" spans="1:4" ht="27.6" customHeight="1" x14ac:dyDescent="0.25">
      <c r="A83" s="21">
        <v>82</v>
      </c>
      <c r="B83" s="22">
        <v>44851</v>
      </c>
      <c r="C83" s="24" t="s">
        <v>229</v>
      </c>
      <c r="D83" s="25" t="s">
        <v>230</v>
      </c>
    </row>
    <row r="84" spans="1:4" ht="27.6" customHeight="1" x14ac:dyDescent="0.25">
      <c r="A84" s="21">
        <v>83</v>
      </c>
      <c r="B84" s="22">
        <v>44872</v>
      </c>
      <c r="C84" s="24" t="s">
        <v>239</v>
      </c>
      <c r="D84" s="25" t="s">
        <v>240</v>
      </c>
    </row>
    <row r="85" spans="1:4" ht="27.6" customHeight="1" x14ac:dyDescent="0.25">
      <c r="A85" s="21">
        <v>84</v>
      </c>
    </row>
    <row r="86" spans="1:4" ht="27.6" customHeight="1" x14ac:dyDescent="0.25">
      <c r="A86" s="21">
        <v>85</v>
      </c>
    </row>
    <row r="87" spans="1:4" ht="27.6" customHeight="1" x14ac:dyDescent="0.25">
      <c r="A87" s="21">
        <v>86</v>
      </c>
    </row>
    <row r="88" spans="1:4" ht="27.6" customHeight="1" x14ac:dyDescent="0.25">
      <c r="A88" s="21">
        <v>87</v>
      </c>
    </row>
    <row r="89" spans="1:4" ht="27.6" customHeight="1" x14ac:dyDescent="0.25">
      <c r="A89" s="21">
        <v>88</v>
      </c>
    </row>
    <row r="90" spans="1:4" ht="27.6" customHeight="1" x14ac:dyDescent="0.25">
      <c r="A90" s="21">
        <v>89</v>
      </c>
    </row>
    <row r="91" spans="1:4" ht="27.6" customHeight="1" x14ac:dyDescent="0.25">
      <c r="A91" s="21">
        <v>90</v>
      </c>
    </row>
    <row r="92" spans="1:4" ht="27.6" customHeight="1" x14ac:dyDescent="0.25">
      <c r="A92" s="21">
        <v>91</v>
      </c>
    </row>
    <row r="93" spans="1:4" ht="27.6" customHeight="1" x14ac:dyDescent="0.25">
      <c r="A93" s="21">
        <v>92</v>
      </c>
    </row>
    <row r="94" spans="1:4" ht="27.6" customHeight="1" x14ac:dyDescent="0.25">
      <c r="A94" s="21">
        <v>93</v>
      </c>
    </row>
    <row r="95" spans="1:4" ht="27.6" customHeight="1" x14ac:dyDescent="0.25">
      <c r="A95" s="21">
        <v>94</v>
      </c>
    </row>
    <row r="96" spans="1:4" ht="27.6" customHeight="1" x14ac:dyDescent="0.25">
      <c r="A96" s="21">
        <v>95</v>
      </c>
    </row>
    <row r="97" spans="1:1" ht="27.6" customHeight="1" x14ac:dyDescent="0.25">
      <c r="A97" s="21">
        <v>96</v>
      </c>
    </row>
    <row r="98" spans="1:1" ht="27.6" customHeight="1" x14ac:dyDescent="0.25">
      <c r="A98" s="21">
        <v>97</v>
      </c>
    </row>
    <row r="99" spans="1:1" ht="27.6" customHeight="1" x14ac:dyDescent="0.25">
      <c r="A99" s="21">
        <v>98</v>
      </c>
    </row>
    <row r="100" spans="1:1" ht="27.6" customHeight="1" x14ac:dyDescent="0.25">
      <c r="A100" s="21">
        <v>99</v>
      </c>
    </row>
    <row r="101" spans="1:1" ht="27.6" customHeight="1" x14ac:dyDescent="0.25">
      <c r="A101" s="21">
        <v>100</v>
      </c>
    </row>
    <row r="102" spans="1:1" ht="27.6" customHeight="1" x14ac:dyDescent="0.25">
      <c r="A102" s="21">
        <v>101</v>
      </c>
    </row>
    <row r="103" spans="1:1" ht="27.6" customHeight="1" x14ac:dyDescent="0.25">
      <c r="A103" s="21">
        <v>102</v>
      </c>
    </row>
    <row r="104" spans="1:1" ht="27.6" customHeight="1" x14ac:dyDescent="0.25">
      <c r="A104" s="21">
        <v>103</v>
      </c>
    </row>
    <row r="105" spans="1:1" ht="27.6" customHeight="1" x14ac:dyDescent="0.25">
      <c r="A105" s="21">
        <v>104</v>
      </c>
    </row>
    <row r="106" spans="1:1" ht="27.6" customHeight="1" x14ac:dyDescent="0.25">
      <c r="A106" s="21">
        <v>105</v>
      </c>
    </row>
    <row r="107" spans="1:1" ht="27.6" customHeight="1" x14ac:dyDescent="0.25">
      <c r="A107" s="21">
        <v>106</v>
      </c>
    </row>
    <row r="108" spans="1:1" ht="27.6" customHeight="1" x14ac:dyDescent="0.25">
      <c r="A108" s="21">
        <v>107</v>
      </c>
    </row>
    <row r="109" spans="1:1" ht="27.6" customHeight="1" x14ac:dyDescent="0.25">
      <c r="A109" s="21">
        <v>108</v>
      </c>
    </row>
    <row r="110" spans="1:1" ht="27.6" customHeight="1" x14ac:dyDescent="0.25">
      <c r="A110" s="21">
        <v>109</v>
      </c>
    </row>
    <row r="111" spans="1:1" ht="27.6" customHeight="1" x14ac:dyDescent="0.25">
      <c r="A111" s="21">
        <v>110</v>
      </c>
    </row>
    <row r="112" spans="1:1" ht="27.6" customHeight="1" x14ac:dyDescent="0.25">
      <c r="A112" s="21">
        <v>111</v>
      </c>
    </row>
    <row r="113" spans="1:1" ht="27.6" customHeight="1" x14ac:dyDescent="0.25">
      <c r="A113" s="21">
        <v>112</v>
      </c>
    </row>
    <row r="114" spans="1:1" ht="27.6" customHeight="1" x14ac:dyDescent="0.25">
      <c r="A114" s="21">
        <v>113</v>
      </c>
    </row>
    <row r="115" spans="1:1" ht="27.6" customHeight="1" x14ac:dyDescent="0.25">
      <c r="A115" s="21">
        <v>114</v>
      </c>
    </row>
    <row r="116" spans="1:1" ht="27.6" customHeight="1" x14ac:dyDescent="0.25">
      <c r="A116" s="21">
        <v>115</v>
      </c>
    </row>
    <row r="117" spans="1:1" ht="27.6" customHeight="1" x14ac:dyDescent="0.25">
      <c r="A117" s="21">
        <v>116</v>
      </c>
    </row>
    <row r="118" spans="1:1" ht="27.6" customHeight="1" x14ac:dyDescent="0.25">
      <c r="A118" s="21">
        <v>117</v>
      </c>
    </row>
    <row r="119" spans="1:1" ht="27.6" customHeight="1" x14ac:dyDescent="0.25">
      <c r="A119" s="21">
        <v>118</v>
      </c>
    </row>
    <row r="120" spans="1:1" ht="27.6" customHeight="1" x14ac:dyDescent="0.25">
      <c r="A120" s="21">
        <v>119</v>
      </c>
    </row>
    <row r="121" spans="1:1" ht="27.6" customHeight="1" x14ac:dyDescent="0.25">
      <c r="A121" s="21">
        <v>120</v>
      </c>
    </row>
    <row r="122" spans="1:1" ht="27.6" customHeight="1" x14ac:dyDescent="0.25">
      <c r="A122" s="21">
        <v>121</v>
      </c>
    </row>
    <row r="123" spans="1:1" ht="27.6" customHeight="1" x14ac:dyDescent="0.25">
      <c r="A123" s="21">
        <v>122</v>
      </c>
    </row>
    <row r="124" spans="1:1" ht="27.6" customHeight="1" x14ac:dyDescent="0.25">
      <c r="A124" s="21">
        <v>123</v>
      </c>
    </row>
    <row r="125" spans="1:1" ht="27.6" customHeight="1" x14ac:dyDescent="0.25">
      <c r="A125" s="21">
        <v>124</v>
      </c>
    </row>
    <row r="126" spans="1:1" ht="27.6" customHeight="1" x14ac:dyDescent="0.25">
      <c r="A126" s="21">
        <v>125</v>
      </c>
    </row>
    <row r="127" spans="1:1" ht="27.6" customHeight="1" x14ac:dyDescent="0.25">
      <c r="A127" s="21">
        <v>126</v>
      </c>
    </row>
    <row r="128" spans="1:1" ht="27.6" customHeight="1" x14ac:dyDescent="0.25">
      <c r="A128" s="21">
        <v>127</v>
      </c>
    </row>
    <row r="129" spans="1:1" ht="27.6" customHeight="1" x14ac:dyDescent="0.25">
      <c r="A129" s="21">
        <v>128</v>
      </c>
    </row>
    <row r="130" spans="1:1" ht="27.6" customHeight="1" x14ac:dyDescent="0.25">
      <c r="A130" s="21">
        <v>129</v>
      </c>
    </row>
    <row r="131" spans="1:1" ht="27.6" customHeight="1" x14ac:dyDescent="0.25">
      <c r="A131" s="21">
        <v>130</v>
      </c>
    </row>
    <row r="132" spans="1:1" ht="27.6" customHeight="1" x14ac:dyDescent="0.25">
      <c r="A132" s="21">
        <v>131</v>
      </c>
    </row>
    <row r="133" spans="1:1" ht="27.6" customHeight="1" x14ac:dyDescent="0.25">
      <c r="A133" s="21">
        <v>132</v>
      </c>
    </row>
    <row r="134" spans="1:1" ht="27.6" customHeight="1" x14ac:dyDescent="0.25">
      <c r="A134" s="21">
        <v>133</v>
      </c>
    </row>
    <row r="135" spans="1:1" ht="27.6" customHeight="1" x14ac:dyDescent="0.25">
      <c r="A135" s="21">
        <v>134</v>
      </c>
    </row>
    <row r="136" spans="1:1" ht="27.6" customHeight="1" x14ac:dyDescent="0.25">
      <c r="A136" s="21">
        <v>135</v>
      </c>
    </row>
    <row r="137" spans="1:1" ht="27.6" customHeight="1" x14ac:dyDescent="0.25">
      <c r="A137" s="21">
        <v>136</v>
      </c>
    </row>
    <row r="138" spans="1:1" ht="27.6" customHeight="1" x14ac:dyDescent="0.25">
      <c r="A138" s="21">
        <v>137</v>
      </c>
    </row>
    <row r="139" spans="1:1" ht="27.6" customHeight="1" x14ac:dyDescent="0.25">
      <c r="A139" s="21">
        <v>138</v>
      </c>
    </row>
    <row r="140" spans="1:1" ht="27.6" customHeight="1" x14ac:dyDescent="0.25">
      <c r="A140" s="21">
        <v>139</v>
      </c>
    </row>
    <row r="141" spans="1:1" ht="27.6" customHeight="1" x14ac:dyDescent="0.25">
      <c r="A141" s="21">
        <v>140</v>
      </c>
    </row>
    <row r="142" spans="1:1" ht="27.6" customHeight="1" x14ac:dyDescent="0.25">
      <c r="A142" s="21">
        <v>141</v>
      </c>
    </row>
    <row r="143" spans="1:1" ht="27.6" customHeight="1" x14ac:dyDescent="0.25">
      <c r="A143" s="21">
        <v>142</v>
      </c>
    </row>
    <row r="144" spans="1:1" ht="27.6" customHeight="1" x14ac:dyDescent="0.25">
      <c r="A144" s="21">
        <v>143</v>
      </c>
    </row>
    <row r="145" spans="1:1" ht="27.6" customHeight="1" x14ac:dyDescent="0.25">
      <c r="A145" s="21">
        <v>144</v>
      </c>
    </row>
    <row r="146" spans="1:1" ht="27.6" customHeight="1" x14ac:dyDescent="0.25">
      <c r="A146" s="21">
        <v>145</v>
      </c>
    </row>
    <row r="147" spans="1:1" ht="27.6" customHeight="1" x14ac:dyDescent="0.25">
      <c r="A147" s="21">
        <v>146</v>
      </c>
    </row>
    <row r="148" spans="1:1" ht="27.6" customHeight="1" x14ac:dyDescent="0.25">
      <c r="A148" s="21">
        <v>147</v>
      </c>
    </row>
    <row r="149" spans="1:1" ht="27.6" customHeight="1" x14ac:dyDescent="0.25">
      <c r="A149" s="21">
        <v>148</v>
      </c>
    </row>
    <row r="150" spans="1:1" ht="27.6" customHeight="1" x14ac:dyDescent="0.25">
      <c r="A150" s="21">
        <v>149</v>
      </c>
    </row>
    <row r="151" spans="1:1" ht="27.6" customHeight="1" x14ac:dyDescent="0.25">
      <c r="A151" s="21">
        <v>150</v>
      </c>
    </row>
    <row r="152" spans="1:1" ht="27.6" customHeight="1" x14ac:dyDescent="0.25">
      <c r="A152" s="21">
        <v>151</v>
      </c>
    </row>
    <row r="153" spans="1:1" ht="27.6" customHeight="1" x14ac:dyDescent="0.25">
      <c r="A153" s="21">
        <v>152</v>
      </c>
    </row>
    <row r="154" spans="1:1" ht="27.6" customHeight="1" x14ac:dyDescent="0.25">
      <c r="A154" s="21">
        <v>153</v>
      </c>
    </row>
    <row r="155" spans="1:1" ht="27.6" customHeight="1" x14ac:dyDescent="0.25">
      <c r="A155" s="21">
        <v>154</v>
      </c>
    </row>
    <row r="156" spans="1:1" ht="27.6" customHeight="1" x14ac:dyDescent="0.25">
      <c r="A156" s="21">
        <v>155</v>
      </c>
    </row>
    <row r="157" spans="1:1" ht="27.6" customHeight="1" x14ac:dyDescent="0.25">
      <c r="A157" s="21">
        <v>156</v>
      </c>
    </row>
    <row r="158" spans="1:1" ht="27.6" customHeight="1" x14ac:dyDescent="0.25">
      <c r="A158" s="21">
        <v>157</v>
      </c>
    </row>
    <row r="159" spans="1:1" ht="27.6" customHeight="1" x14ac:dyDescent="0.25">
      <c r="A159" s="21">
        <v>158</v>
      </c>
    </row>
    <row r="160" spans="1:1" ht="27.6" customHeight="1" x14ac:dyDescent="0.25">
      <c r="A160" s="21">
        <v>159</v>
      </c>
    </row>
    <row r="161" spans="1:1" ht="27.6" customHeight="1" x14ac:dyDescent="0.25">
      <c r="A161" s="21">
        <v>160</v>
      </c>
    </row>
    <row r="162" spans="1:1" ht="27.6" customHeight="1" x14ac:dyDescent="0.25">
      <c r="A162" s="21">
        <v>161</v>
      </c>
    </row>
    <row r="163" spans="1:1" ht="27.6" customHeight="1" x14ac:dyDescent="0.25">
      <c r="A163" s="21">
        <v>162</v>
      </c>
    </row>
    <row r="164" spans="1:1" ht="27.6" customHeight="1" x14ac:dyDescent="0.25">
      <c r="A164" s="21">
        <v>163</v>
      </c>
    </row>
    <row r="165" spans="1:1" ht="27.6" customHeight="1" x14ac:dyDescent="0.25">
      <c r="A165" s="21">
        <v>164</v>
      </c>
    </row>
    <row r="166" spans="1:1" ht="27.6" customHeight="1" x14ac:dyDescent="0.25">
      <c r="A166" s="21">
        <v>165</v>
      </c>
    </row>
    <row r="167" spans="1:1" ht="27.6" customHeight="1" x14ac:dyDescent="0.25">
      <c r="A167" s="21">
        <v>166</v>
      </c>
    </row>
    <row r="168" spans="1:1" ht="27.6" customHeight="1" x14ac:dyDescent="0.25">
      <c r="A168" s="21">
        <v>167</v>
      </c>
    </row>
    <row r="169" spans="1:1" ht="27.6" customHeight="1" x14ac:dyDescent="0.25">
      <c r="A169" s="21">
        <v>168</v>
      </c>
    </row>
    <row r="170" spans="1:1" ht="27.6" customHeight="1" x14ac:dyDescent="0.25">
      <c r="A170" s="21">
        <v>169</v>
      </c>
    </row>
    <row r="171" spans="1:1" ht="27.6" customHeight="1" x14ac:dyDescent="0.25">
      <c r="A171" s="21">
        <v>170</v>
      </c>
    </row>
    <row r="172" spans="1:1" ht="27.6" customHeight="1" x14ac:dyDescent="0.25">
      <c r="A172" s="21">
        <v>171</v>
      </c>
    </row>
    <row r="173" spans="1:1" ht="27.6" customHeight="1" x14ac:dyDescent="0.25">
      <c r="A173" s="21">
        <v>172</v>
      </c>
    </row>
    <row r="174" spans="1:1" ht="27.6" customHeight="1" x14ac:dyDescent="0.25">
      <c r="A174" s="21">
        <v>173</v>
      </c>
    </row>
    <row r="175" spans="1:1" ht="27.6" customHeight="1" x14ac:dyDescent="0.25">
      <c r="A175" s="21">
        <v>174</v>
      </c>
    </row>
    <row r="176" spans="1:1" ht="27.6" customHeight="1" x14ac:dyDescent="0.25">
      <c r="A176" s="21">
        <v>175</v>
      </c>
    </row>
    <row r="177" spans="1:1" ht="27.6" customHeight="1" x14ac:dyDescent="0.25">
      <c r="A177" s="21">
        <v>176</v>
      </c>
    </row>
    <row r="178" spans="1:1" ht="27.6" customHeight="1" x14ac:dyDescent="0.25">
      <c r="A178" s="21">
        <v>177</v>
      </c>
    </row>
    <row r="179" spans="1:1" ht="27.6" customHeight="1" x14ac:dyDescent="0.25">
      <c r="A179" s="21">
        <v>178</v>
      </c>
    </row>
    <row r="180" spans="1:1" ht="27.6" customHeight="1" x14ac:dyDescent="0.25">
      <c r="A180" s="21">
        <v>179</v>
      </c>
    </row>
    <row r="181" spans="1:1" ht="27.6" customHeight="1" x14ac:dyDescent="0.25">
      <c r="A181" s="21">
        <v>180</v>
      </c>
    </row>
    <row r="182" spans="1:1" ht="27.6" customHeight="1" x14ac:dyDescent="0.25">
      <c r="A182" s="21">
        <v>181</v>
      </c>
    </row>
    <row r="183" spans="1:1" ht="27.6" customHeight="1" x14ac:dyDescent="0.25">
      <c r="A183" s="21">
        <v>182</v>
      </c>
    </row>
    <row r="184" spans="1:1" ht="27.6" customHeight="1" x14ac:dyDescent="0.25">
      <c r="A184" s="21">
        <v>183</v>
      </c>
    </row>
    <row r="185" spans="1:1" ht="27.6" customHeight="1" x14ac:dyDescent="0.25">
      <c r="A185" s="21">
        <v>184</v>
      </c>
    </row>
    <row r="186" spans="1:1" ht="27.6" customHeight="1" x14ac:dyDescent="0.25">
      <c r="A186" s="21">
        <v>185</v>
      </c>
    </row>
    <row r="187" spans="1:1" ht="27.6" customHeight="1" x14ac:dyDescent="0.25">
      <c r="A187" s="21">
        <v>186</v>
      </c>
    </row>
    <row r="188" spans="1:1" ht="27.6" customHeight="1" x14ac:dyDescent="0.25">
      <c r="A188" s="21">
        <v>187</v>
      </c>
    </row>
    <row r="189" spans="1:1" ht="27.6" customHeight="1" x14ac:dyDescent="0.25">
      <c r="A189" s="21">
        <v>188</v>
      </c>
    </row>
    <row r="190" spans="1:1" ht="27.6" customHeight="1" x14ac:dyDescent="0.25">
      <c r="A190" s="21">
        <v>189</v>
      </c>
    </row>
    <row r="191" spans="1:1" ht="27.6" customHeight="1" x14ac:dyDescent="0.25">
      <c r="A191" s="21">
        <v>190</v>
      </c>
    </row>
    <row r="192" spans="1:1" ht="27.6" customHeight="1" x14ac:dyDescent="0.25">
      <c r="A192" s="21">
        <v>191</v>
      </c>
    </row>
    <row r="193" spans="1:1" ht="27.6" customHeight="1" x14ac:dyDescent="0.25">
      <c r="A193" s="21">
        <v>192</v>
      </c>
    </row>
    <row r="194" spans="1:1" ht="27.6" customHeight="1" x14ac:dyDescent="0.25">
      <c r="A194" s="21">
        <v>193</v>
      </c>
    </row>
    <row r="195" spans="1:1" ht="27.6" customHeight="1" x14ac:dyDescent="0.25">
      <c r="A195" s="21">
        <v>194</v>
      </c>
    </row>
    <row r="196" spans="1:1" ht="27.6" customHeight="1" x14ac:dyDescent="0.25">
      <c r="A196" s="21">
        <v>195</v>
      </c>
    </row>
    <row r="197" spans="1:1" ht="27.6" customHeight="1" x14ac:dyDescent="0.25">
      <c r="A197" s="21">
        <v>196</v>
      </c>
    </row>
    <row r="198" spans="1:1" ht="27.6" customHeight="1" x14ac:dyDescent="0.25">
      <c r="A198" s="21">
        <v>197</v>
      </c>
    </row>
    <row r="199" spans="1:1" ht="27.6" customHeight="1" x14ac:dyDescent="0.25">
      <c r="A199" s="21">
        <v>198</v>
      </c>
    </row>
    <row r="200" spans="1:1" ht="27.6" customHeight="1" x14ac:dyDescent="0.25">
      <c r="A200" s="21">
        <v>199</v>
      </c>
    </row>
    <row r="201" spans="1:1" ht="27.6" customHeight="1" x14ac:dyDescent="0.25">
      <c r="A201" s="21">
        <v>200</v>
      </c>
    </row>
    <row r="202" spans="1:1" ht="27.6" customHeight="1" x14ac:dyDescent="0.25">
      <c r="A202" s="21">
        <v>201</v>
      </c>
    </row>
    <row r="203" spans="1:1" ht="27.6" customHeight="1" x14ac:dyDescent="0.25">
      <c r="A203" s="21">
        <v>202</v>
      </c>
    </row>
    <row r="204" spans="1:1" ht="27.6" customHeight="1" x14ac:dyDescent="0.25">
      <c r="A204" s="21">
        <v>203</v>
      </c>
    </row>
    <row r="205" spans="1:1" ht="27.6" customHeight="1" x14ac:dyDescent="0.25">
      <c r="A205" s="21">
        <v>204</v>
      </c>
    </row>
    <row r="206" spans="1:1" ht="27.6" customHeight="1" x14ac:dyDescent="0.25">
      <c r="A206" s="21">
        <v>205</v>
      </c>
    </row>
    <row r="207" spans="1:1" ht="27.6" customHeight="1" x14ac:dyDescent="0.25">
      <c r="A207" s="21">
        <v>206</v>
      </c>
    </row>
    <row r="208" spans="1:1" ht="27.6" customHeight="1" x14ac:dyDescent="0.25">
      <c r="A208" s="21">
        <v>207</v>
      </c>
    </row>
    <row r="209" spans="1:1" ht="27.6" customHeight="1" x14ac:dyDescent="0.25">
      <c r="A209" s="21">
        <v>208</v>
      </c>
    </row>
    <row r="210" spans="1:1" ht="27.6" customHeight="1" x14ac:dyDescent="0.25">
      <c r="A210" s="21">
        <v>209</v>
      </c>
    </row>
    <row r="211" spans="1:1" ht="27.6" customHeight="1" x14ac:dyDescent="0.25">
      <c r="A211" s="21">
        <v>210</v>
      </c>
    </row>
    <row r="212" spans="1:1" ht="27.6" customHeight="1" x14ac:dyDescent="0.25">
      <c r="A212" s="21">
        <v>211</v>
      </c>
    </row>
    <row r="213" spans="1:1" ht="27.6" customHeight="1" x14ac:dyDescent="0.25">
      <c r="A213" s="21">
        <v>212</v>
      </c>
    </row>
    <row r="214" spans="1:1" ht="27.6" customHeight="1" x14ac:dyDescent="0.25">
      <c r="A214" s="21">
        <v>213</v>
      </c>
    </row>
    <row r="215" spans="1:1" ht="27.6" customHeight="1" x14ac:dyDescent="0.25">
      <c r="A215" s="21">
        <v>214</v>
      </c>
    </row>
    <row r="216" spans="1:1" ht="27.6" customHeight="1" x14ac:dyDescent="0.25">
      <c r="A216" s="21">
        <v>215</v>
      </c>
    </row>
    <row r="217" spans="1:1" ht="27.6" customHeight="1" x14ac:dyDescent="0.25">
      <c r="A217" s="21">
        <v>216</v>
      </c>
    </row>
    <row r="218" spans="1:1" ht="27.6" customHeight="1" x14ac:dyDescent="0.25">
      <c r="A218" s="21">
        <v>217</v>
      </c>
    </row>
    <row r="219" spans="1:1" ht="27.6" customHeight="1" x14ac:dyDescent="0.25">
      <c r="A219" s="21">
        <v>218</v>
      </c>
    </row>
    <row r="220" spans="1:1" ht="27.6" customHeight="1" x14ac:dyDescent="0.25">
      <c r="A220" s="21">
        <v>219</v>
      </c>
    </row>
    <row r="221" spans="1:1" ht="27.6" customHeight="1" x14ac:dyDescent="0.25">
      <c r="A221" s="21">
        <v>220</v>
      </c>
    </row>
    <row r="222" spans="1:1" ht="27.6" customHeight="1" x14ac:dyDescent="0.25">
      <c r="A222" s="21">
        <v>221</v>
      </c>
    </row>
    <row r="223" spans="1:1" ht="27.6" customHeight="1" x14ac:dyDescent="0.25">
      <c r="A223" s="21">
        <v>222</v>
      </c>
    </row>
    <row r="224" spans="1:1" ht="27.6" customHeight="1" x14ac:dyDescent="0.25">
      <c r="A224" s="21">
        <v>223</v>
      </c>
    </row>
    <row r="225" spans="1:1" ht="27.6" customHeight="1" x14ac:dyDescent="0.25">
      <c r="A225" s="21">
        <v>224</v>
      </c>
    </row>
    <row r="226" spans="1:1" ht="27.6" customHeight="1" x14ac:dyDescent="0.25">
      <c r="A226" s="21">
        <v>225</v>
      </c>
    </row>
    <row r="227" spans="1:1" ht="27.6" customHeight="1" x14ac:dyDescent="0.25">
      <c r="A227" s="21">
        <v>226</v>
      </c>
    </row>
    <row r="228" spans="1:1" ht="27.6" customHeight="1" x14ac:dyDescent="0.25">
      <c r="A228" s="21">
        <v>227</v>
      </c>
    </row>
    <row r="229" spans="1:1" ht="27.6" customHeight="1" x14ac:dyDescent="0.25">
      <c r="A229" s="21">
        <v>228</v>
      </c>
    </row>
    <row r="230" spans="1:1" ht="27.6" customHeight="1" x14ac:dyDescent="0.25">
      <c r="A230" s="21">
        <v>229</v>
      </c>
    </row>
    <row r="231" spans="1:1" ht="27.6" customHeight="1" x14ac:dyDescent="0.25">
      <c r="A231" s="21">
        <v>230</v>
      </c>
    </row>
    <row r="232" spans="1:1" ht="27.6" customHeight="1" x14ac:dyDescent="0.25">
      <c r="A232" s="21">
        <v>231</v>
      </c>
    </row>
    <row r="233" spans="1:1" ht="27.6" customHeight="1" x14ac:dyDescent="0.25">
      <c r="A233" s="21">
        <v>232</v>
      </c>
    </row>
    <row r="234" spans="1:1" ht="27.6" customHeight="1" x14ac:dyDescent="0.25">
      <c r="A234" s="21">
        <v>233</v>
      </c>
    </row>
    <row r="235" spans="1:1" ht="27.6" customHeight="1" x14ac:dyDescent="0.25">
      <c r="A235" s="21">
        <v>234</v>
      </c>
    </row>
    <row r="236" spans="1:1" ht="27.6" customHeight="1" x14ac:dyDescent="0.25">
      <c r="A236" s="21">
        <v>235</v>
      </c>
    </row>
    <row r="237" spans="1:1" ht="27.6" customHeight="1" x14ac:dyDescent="0.25">
      <c r="A237" s="21">
        <v>236</v>
      </c>
    </row>
    <row r="238" spans="1:1" ht="27.6" customHeight="1" x14ac:dyDescent="0.25">
      <c r="A238" s="21">
        <v>237</v>
      </c>
    </row>
    <row r="239" spans="1:1" ht="27.6" customHeight="1" x14ac:dyDescent="0.25">
      <c r="A239" s="21">
        <v>238</v>
      </c>
    </row>
    <row r="240" spans="1:1" ht="27.6" customHeight="1" x14ac:dyDescent="0.25">
      <c r="A240" s="21">
        <v>239</v>
      </c>
    </row>
    <row r="241" spans="1:1" ht="27.6" customHeight="1" x14ac:dyDescent="0.25">
      <c r="A241" s="21">
        <v>240</v>
      </c>
    </row>
    <row r="242" spans="1:1" ht="27.6" customHeight="1" x14ac:dyDescent="0.25">
      <c r="A242" s="21">
        <v>241</v>
      </c>
    </row>
    <row r="243" spans="1:1" ht="27.6" customHeight="1" x14ac:dyDescent="0.25">
      <c r="A243" s="21">
        <v>242</v>
      </c>
    </row>
    <row r="244" spans="1:1" ht="27.6" customHeight="1" x14ac:dyDescent="0.25">
      <c r="A244" s="21">
        <v>243</v>
      </c>
    </row>
    <row r="245" spans="1:1" ht="27.6" customHeight="1" x14ac:dyDescent="0.25">
      <c r="A245" s="21">
        <v>244</v>
      </c>
    </row>
    <row r="246" spans="1:1" ht="27.6" customHeight="1" x14ac:dyDescent="0.25">
      <c r="A246" s="21">
        <v>245</v>
      </c>
    </row>
    <row r="247" spans="1:1" ht="27.6" customHeight="1" x14ac:dyDescent="0.25">
      <c r="A247" s="21">
        <v>246</v>
      </c>
    </row>
    <row r="248" spans="1:1" ht="27.6" customHeight="1" x14ac:dyDescent="0.25">
      <c r="A248" s="21">
        <v>247</v>
      </c>
    </row>
    <row r="249" spans="1:1" ht="27.6" customHeight="1" x14ac:dyDescent="0.25">
      <c r="A249" s="21">
        <v>248</v>
      </c>
    </row>
    <row r="250" spans="1:1" ht="27.6" customHeight="1" x14ac:dyDescent="0.25">
      <c r="A250" s="21">
        <v>249</v>
      </c>
    </row>
    <row r="251" spans="1:1" ht="27.6" customHeight="1" x14ac:dyDescent="0.25">
      <c r="A251" s="21">
        <v>250</v>
      </c>
    </row>
    <row r="252" spans="1:1" ht="27.6" customHeight="1" x14ac:dyDescent="0.25">
      <c r="A252" s="21">
        <v>251</v>
      </c>
    </row>
    <row r="253" spans="1:1" ht="27.6" customHeight="1" x14ac:dyDescent="0.25">
      <c r="A253" s="21">
        <v>252</v>
      </c>
    </row>
    <row r="254" spans="1:1" ht="27.6" customHeight="1" x14ac:dyDescent="0.25">
      <c r="A254" s="21">
        <v>253</v>
      </c>
    </row>
    <row r="255" spans="1:1" ht="27.6" customHeight="1" x14ac:dyDescent="0.25">
      <c r="A255" s="21">
        <v>254</v>
      </c>
    </row>
    <row r="256" spans="1:1" ht="27.6" customHeight="1" x14ac:dyDescent="0.25">
      <c r="A256" s="21">
        <v>255</v>
      </c>
    </row>
    <row r="257" spans="1:1" ht="27.6" customHeight="1" x14ac:dyDescent="0.25">
      <c r="A257" s="21">
        <v>256</v>
      </c>
    </row>
    <row r="258" spans="1:1" ht="27.6" customHeight="1" x14ac:dyDescent="0.25">
      <c r="A258" s="21">
        <v>257</v>
      </c>
    </row>
    <row r="259" spans="1:1" ht="27.6" customHeight="1" x14ac:dyDescent="0.25">
      <c r="A259" s="21">
        <v>258</v>
      </c>
    </row>
    <row r="260" spans="1:1" ht="27.6" customHeight="1" x14ac:dyDescent="0.25">
      <c r="A260" s="21">
        <v>259</v>
      </c>
    </row>
    <row r="261" spans="1:1" ht="27.6" customHeight="1" x14ac:dyDescent="0.25">
      <c r="A261" s="21">
        <v>260</v>
      </c>
    </row>
    <row r="262" spans="1:1" ht="27.6" customHeight="1" x14ac:dyDescent="0.25">
      <c r="A262" s="21">
        <v>261</v>
      </c>
    </row>
    <row r="263" spans="1:1" ht="27.6" customHeight="1" x14ac:dyDescent="0.25">
      <c r="A263" s="21">
        <v>262</v>
      </c>
    </row>
    <row r="264" spans="1:1" ht="27.6" customHeight="1" x14ac:dyDescent="0.25">
      <c r="A264" s="21">
        <v>263</v>
      </c>
    </row>
    <row r="265" spans="1:1" ht="27.6" customHeight="1" x14ac:dyDescent="0.25">
      <c r="A265" s="21">
        <v>264</v>
      </c>
    </row>
    <row r="266" spans="1:1" ht="27.6" customHeight="1" x14ac:dyDescent="0.25">
      <c r="A266" s="21">
        <v>265</v>
      </c>
    </row>
    <row r="267" spans="1:1" ht="27.6" customHeight="1" x14ac:dyDescent="0.25">
      <c r="A267" s="21">
        <v>266</v>
      </c>
    </row>
    <row r="268" spans="1:1" ht="27.6" customHeight="1" x14ac:dyDescent="0.25">
      <c r="A268" s="21">
        <v>267</v>
      </c>
    </row>
    <row r="269" spans="1:1" ht="27.6" customHeight="1" x14ac:dyDescent="0.25">
      <c r="A269" s="21">
        <v>268</v>
      </c>
    </row>
    <row r="270" spans="1:1" ht="27.6" customHeight="1" x14ac:dyDescent="0.25">
      <c r="A270" s="21">
        <v>269</v>
      </c>
    </row>
    <row r="271" spans="1:1" ht="27.6" customHeight="1" x14ac:dyDescent="0.25">
      <c r="A271" s="21">
        <v>270</v>
      </c>
    </row>
    <row r="272" spans="1:1" ht="27.6" customHeight="1" x14ac:dyDescent="0.25">
      <c r="A272" s="21">
        <v>271</v>
      </c>
    </row>
    <row r="273" spans="1:1" ht="27.6" customHeight="1" x14ac:dyDescent="0.25">
      <c r="A273" s="21">
        <v>272</v>
      </c>
    </row>
    <row r="274" spans="1:1" ht="27.6" customHeight="1" x14ac:dyDescent="0.25">
      <c r="A274" s="21">
        <v>273</v>
      </c>
    </row>
    <row r="275" spans="1:1" ht="27.6" customHeight="1" x14ac:dyDescent="0.25">
      <c r="A275" s="21">
        <v>274</v>
      </c>
    </row>
    <row r="276" spans="1:1" ht="27.6" customHeight="1" x14ac:dyDescent="0.25">
      <c r="A276" s="21">
        <v>275</v>
      </c>
    </row>
    <row r="277" spans="1:1" ht="27.6" customHeight="1" x14ac:dyDescent="0.25">
      <c r="A277" s="21">
        <v>276</v>
      </c>
    </row>
    <row r="278" spans="1:1" ht="27.6" customHeight="1" x14ac:dyDescent="0.25">
      <c r="A278" s="21">
        <v>277</v>
      </c>
    </row>
    <row r="279" spans="1:1" ht="27.6" customHeight="1" x14ac:dyDescent="0.25">
      <c r="A279" s="21">
        <v>278</v>
      </c>
    </row>
    <row r="280" spans="1:1" ht="27.6" customHeight="1" x14ac:dyDescent="0.25">
      <c r="A280" s="21">
        <v>279</v>
      </c>
    </row>
    <row r="281" spans="1:1" ht="27.6" customHeight="1" x14ac:dyDescent="0.25">
      <c r="A281" s="21">
        <v>280</v>
      </c>
    </row>
    <row r="282" spans="1:1" ht="27.6" customHeight="1" x14ac:dyDescent="0.25">
      <c r="A282" s="21">
        <v>281</v>
      </c>
    </row>
    <row r="283" spans="1:1" ht="27.6" customHeight="1" x14ac:dyDescent="0.25">
      <c r="A283" s="21">
        <v>282</v>
      </c>
    </row>
    <row r="284" spans="1:1" ht="27.6" customHeight="1" x14ac:dyDescent="0.25">
      <c r="A284" s="21">
        <v>283</v>
      </c>
    </row>
    <row r="285" spans="1:1" ht="27.6" customHeight="1" x14ac:dyDescent="0.25">
      <c r="A285" s="21">
        <v>284</v>
      </c>
    </row>
    <row r="286" spans="1:1" ht="27.6" customHeight="1" x14ac:dyDescent="0.25">
      <c r="A286" s="21">
        <v>285</v>
      </c>
    </row>
    <row r="287" spans="1:1" ht="27.6" customHeight="1" x14ac:dyDescent="0.25">
      <c r="A287" s="21">
        <v>286</v>
      </c>
    </row>
    <row r="288" spans="1:1" ht="27.6" customHeight="1" x14ac:dyDescent="0.25">
      <c r="A288" s="21">
        <v>287</v>
      </c>
    </row>
    <row r="289" spans="1:1" ht="27.6" customHeight="1" x14ac:dyDescent="0.25">
      <c r="A289" s="21">
        <v>288</v>
      </c>
    </row>
    <row r="290" spans="1:1" ht="27.6" customHeight="1" x14ac:dyDescent="0.25">
      <c r="A290" s="21">
        <v>289</v>
      </c>
    </row>
    <row r="291" spans="1:1" ht="27.6" customHeight="1" x14ac:dyDescent="0.25">
      <c r="A291" s="21">
        <v>290</v>
      </c>
    </row>
  </sheetData>
  <sheetProtection sheet="1" selectLockedCell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_7"/>
  <dimension ref="B2:S10"/>
  <sheetViews>
    <sheetView zoomScale="145" zoomScaleNormal="145" zoomScaleSheetLayoutView="145" workbookViewId="0"/>
  </sheetViews>
  <sheetFormatPr defaultColWidth="4.44140625" defaultRowHeight="24" customHeight="1" x14ac:dyDescent="0.3"/>
  <cols>
    <col min="1" max="16384" width="4.44140625" style="129"/>
  </cols>
  <sheetData>
    <row r="2" spans="2:19" ht="24" customHeight="1" x14ac:dyDescent="0.3">
      <c r="B2" s="126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8"/>
    </row>
    <row r="3" spans="2:19" ht="24" customHeight="1" x14ac:dyDescent="0.3">
      <c r="B3" s="130"/>
      <c r="C3" s="192" t="s">
        <v>221</v>
      </c>
      <c r="D3" s="192"/>
      <c r="E3" s="192"/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31"/>
    </row>
    <row r="4" spans="2:19" ht="24" customHeight="1" x14ac:dyDescent="0.3">
      <c r="B4" s="130"/>
      <c r="C4" s="191" t="s">
        <v>223</v>
      </c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1"/>
      <c r="O4" s="191"/>
      <c r="P4" s="191"/>
      <c r="Q4" s="191"/>
      <c r="R4" s="191"/>
      <c r="S4" s="131"/>
    </row>
    <row r="5" spans="2:19" ht="24" customHeight="1" x14ac:dyDescent="0.3">
      <c r="B5" s="130"/>
      <c r="C5" s="191"/>
      <c r="D5" s="191"/>
      <c r="E5" s="191"/>
      <c r="F5" s="191"/>
      <c r="G5" s="191"/>
      <c r="H5" s="191"/>
      <c r="I5" s="191"/>
      <c r="J5" s="191"/>
      <c r="K5" s="191"/>
      <c r="L5" s="191"/>
      <c r="M5" s="191"/>
      <c r="N5" s="191"/>
      <c r="O5" s="191"/>
      <c r="P5" s="191"/>
      <c r="Q5" s="191"/>
      <c r="R5" s="191"/>
      <c r="S5" s="131"/>
    </row>
    <row r="6" spans="2:19" ht="24" customHeight="1" x14ac:dyDescent="0.3">
      <c r="B6" s="130"/>
      <c r="C6" s="191" t="s">
        <v>224</v>
      </c>
      <c r="D6" s="191"/>
      <c r="E6" s="191"/>
      <c r="F6" s="191"/>
      <c r="G6" s="191"/>
      <c r="H6" s="191"/>
      <c r="I6" s="191"/>
      <c r="J6" s="191"/>
      <c r="K6" s="191"/>
      <c r="L6" s="191"/>
      <c r="M6" s="191"/>
      <c r="N6" s="191"/>
      <c r="O6" s="191"/>
      <c r="P6" s="191"/>
      <c r="Q6" s="191"/>
      <c r="R6" s="191"/>
      <c r="S6" s="131"/>
    </row>
    <row r="7" spans="2:19" ht="24" customHeight="1" x14ac:dyDescent="0.3">
      <c r="B7" s="130"/>
      <c r="C7" s="191"/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31"/>
    </row>
    <row r="8" spans="2:19" ht="24" customHeight="1" x14ac:dyDescent="0.3">
      <c r="B8" s="130"/>
      <c r="C8" s="125" t="s">
        <v>222</v>
      </c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31"/>
    </row>
    <row r="9" spans="2:19" ht="24" customHeight="1" x14ac:dyDescent="0.3">
      <c r="B9" s="130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31"/>
    </row>
    <row r="10" spans="2:19" ht="24" customHeight="1" x14ac:dyDescent="0.3">
      <c r="B10" s="132"/>
      <c r="C10" s="133"/>
      <c r="D10" s="133"/>
      <c r="E10" s="133"/>
      <c r="F10" s="133"/>
      <c r="G10" s="133"/>
      <c r="H10" s="133"/>
      <c r="I10" s="133"/>
      <c r="J10" s="133"/>
      <c r="K10" s="133"/>
      <c r="L10" s="133"/>
      <c r="M10" s="133"/>
      <c r="N10" s="133"/>
      <c r="O10" s="133"/>
      <c r="P10" s="133"/>
      <c r="Q10" s="133"/>
      <c r="R10" s="133"/>
      <c r="S10" s="134"/>
    </row>
  </sheetData>
  <sheetProtection sheet="1" objects="1" scenarios="1" selectLockedCells="1"/>
  <mergeCells count="3">
    <mergeCell ref="C4:R5"/>
    <mergeCell ref="C6:R7"/>
    <mergeCell ref="C3:R3"/>
  </mergeCells>
  <pageMargins left="0.7" right="0.7" top="0.75" bottom="0.75" header="0.3" footer="0.3"/>
  <pageSetup paperSize="259" scale="1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Kawaii">
                <anchor moveWithCells="1" sizeWithCells="1">
                  <from>
                    <xdr:col>8</xdr:col>
                    <xdr:colOff>91440</xdr:colOff>
                    <xdr:row>8</xdr:row>
                    <xdr:rowOff>190500</xdr:rowOff>
                  </from>
                  <to>
                    <xdr:col>11</xdr:col>
                    <xdr:colOff>198120</xdr:colOff>
                    <xdr:row>9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7" tint="0.59999389629810485"/>
    <pageSetUpPr fitToPage="1"/>
  </sheetPr>
  <dimension ref="A1:K23"/>
  <sheetViews>
    <sheetView zoomScale="70" zoomScaleNormal="70" workbookViewId="0"/>
  </sheetViews>
  <sheetFormatPr defaultColWidth="9.109375" defaultRowHeight="15.6" x14ac:dyDescent="0.3"/>
  <cols>
    <col min="1" max="1" width="8.44140625" style="59" customWidth="1"/>
    <col min="2" max="2" width="36.33203125" style="59" customWidth="1"/>
    <col min="3" max="3" width="47.21875" style="59" customWidth="1"/>
    <col min="4" max="4" width="26.77734375" style="62" customWidth="1"/>
    <col min="5" max="5" width="13.5546875" style="59" customWidth="1"/>
    <col min="6" max="6" width="12.5546875" style="59" customWidth="1"/>
    <col min="7" max="7" width="14.109375" style="59" customWidth="1"/>
    <col min="8" max="8" width="10.5546875" style="59" customWidth="1"/>
    <col min="9" max="9" width="13.77734375" style="59" customWidth="1"/>
    <col min="10" max="10" width="14.109375" style="59" customWidth="1"/>
    <col min="11" max="11" width="14.33203125" style="59" bestFit="1" customWidth="1"/>
    <col min="12" max="12" width="10.33203125" style="59" bestFit="1" customWidth="1"/>
    <col min="13" max="16384" width="9.109375" style="59"/>
  </cols>
  <sheetData>
    <row r="1" spans="1:11" s="62" customFormat="1" ht="31.2" x14ac:dyDescent="0.3">
      <c r="A1" s="58" t="s">
        <v>65</v>
      </c>
      <c r="B1" s="58" t="s">
        <v>66</v>
      </c>
      <c r="C1" s="57" t="s">
        <v>67</v>
      </c>
      <c r="D1" s="57" t="s">
        <v>68</v>
      </c>
      <c r="E1" s="58" t="s">
        <v>69</v>
      </c>
      <c r="F1" s="57" t="s">
        <v>70</v>
      </c>
      <c r="G1" s="58" t="s">
        <v>71</v>
      </c>
      <c r="H1" s="58" t="s">
        <v>72</v>
      </c>
      <c r="I1" s="57" t="s">
        <v>73</v>
      </c>
      <c r="J1" s="57" t="s">
        <v>74</v>
      </c>
    </row>
    <row r="2" spans="1:11" s="62" customFormat="1" ht="30.6" customHeight="1" x14ac:dyDescent="0.3">
      <c r="A2" s="58">
        <v>1</v>
      </c>
      <c r="B2" s="57" t="str">
        <f>Розрахунок!B11&amp;", №"&amp;VLOOKUP(Розрахунок!B11,Таблица1[[Призвище, Ім''я та По батькові]:[TN]],2,0)</f>
        <v>Ганув Володимир Андрійович, №50037508</v>
      </c>
      <c r="C2" s="57" t="str">
        <f>VLOOKUP(Розрахунок!B11,'База даних'!B$2:D$31,3,0)</f>
        <v xml:space="preserve">Інженер з експлуатації ЛЧ МГ </v>
      </c>
      <c r="D2" s="58" t="str">
        <f>Розрахунок!$H$2&amp;" - "&amp;Розрахунок!$H$3</f>
        <v>07.11.2022 - 11.11.2022</v>
      </c>
      <c r="E2" s="60">
        <f>_xlfn.IFNA(IF($B2=0,0,dobovi*dob_days)+IF(worker_1 sep_calc=TRUE,worker_1 dobovi_plus*worker_1 dobovi_plus_days,0),0)</f>
        <v>3000</v>
      </c>
      <c r="F2" s="60">
        <f>_xlfn.IFNA(IF($B2=0,0,projiv*proj_days)+IF(worker_1 sep_calc=TRUE,worker_1 proj_plus*worker_1 proj_plus_days,0),0)</f>
        <v>4800</v>
      </c>
      <c r="G2" s="60">
        <f>_xlfn.IFNA(IF($B2=0,0,proizd*proiz_days)+IF(worker_1 sep_calc=TRUE,worker_1 proiz_plus*worker_1 proiz_plus_days,0),0)</f>
        <v>0</v>
      </c>
      <c r="H2" s="60">
        <f>_xlfn.IFNA(IF($B2=0,0,for_car+other)+IF(worker_1 sep_calc=TRUE,worker_1 for_car_plus+worker_1 other_plus,0),0)</f>
        <v>0</v>
      </c>
      <c r="I2" s="60">
        <f t="shared" ref="I2" si="0">_xlfn.IFNA(IF(B2=0,0,E2+F2+G2+H2),0)</f>
        <v>7800</v>
      </c>
      <c r="J2" s="58"/>
      <c r="K2" s="62" t="b">
        <f>IF(Розрахунок!$M11=TRUE,I2=Розрахунок!W11,I2=Розрахунок!$D$9)</f>
        <v>1</v>
      </c>
    </row>
    <row r="3" spans="1:11" s="62" customFormat="1" ht="30.6" customHeight="1" x14ac:dyDescent="0.3">
      <c r="A3" s="58">
        <v>2</v>
      </c>
      <c r="B3" s="57" t="str">
        <f>Розрахунок!B12&amp;", №"&amp;VLOOKUP(Розрахунок!B12,Таблица1[[Призвище, Ім''я та По батькові]:[TN]],2,0)</f>
        <v>Дворнік Анатолій Олександрович, №50035844</v>
      </c>
      <c r="C3" s="57" t="str">
        <f>VLOOKUP(Розрахунок!B12,'База даних'!B$2:D$31,3,0)</f>
        <v xml:space="preserve">Трубопровідник лінійний </v>
      </c>
      <c r="D3" s="58" t="str">
        <f>Розрахунок!$H$2&amp;" - "&amp;Розрахунок!$H$3</f>
        <v>07.11.2022 - 11.11.2022</v>
      </c>
      <c r="E3" s="60">
        <f>_xlfn.IFNA(IF($B3=0,0,dobovi*dob_days)+IF(worker_2 sep_calc=TRUE,worker_2 dobovi_plus*worker_2 dobovi_plus_days,0),0)</f>
        <v>3000</v>
      </c>
      <c r="F3" s="60">
        <f>_xlfn.IFNA(IF($B3=0,0,projiv*proj_days)+IF(worker_2 sep_calc=TRUE,worker_2 proj_plus*worker_2 proj_plus_days,0),0)</f>
        <v>3600</v>
      </c>
      <c r="G3" s="60">
        <f>_xlfn.IFNA(IF($B3=0,0,proizd*proiz_days)+IF(worker_2 sep_calc=TRUE,worker_2 proiz_plus*worker_2 proiz_plus_days,0),0)</f>
        <v>0</v>
      </c>
      <c r="H3" s="60">
        <f>_xlfn.IFNA(IF($B3=0,0,for_car+other)+IF(worker_2 sep_calc=TRUE,worker_2 for_car_plus+worker_2 other_plus,0),0)</f>
        <v>0</v>
      </c>
      <c r="I3" s="60">
        <f t="shared" ref="I3:I7" si="1">_xlfn.IFNA(IF(B3=0,0,E3+F3+G3+H3),0)</f>
        <v>6600</v>
      </c>
      <c r="J3" s="58"/>
      <c r="K3" s="62" t="b">
        <f>IF(Розрахунок!$M12=TRUE,I3=Розрахунок!W12,I3=Розрахунок!$D$9)</f>
        <v>1</v>
      </c>
    </row>
    <row r="4" spans="1:11" s="62" customFormat="1" ht="30.6" customHeight="1" x14ac:dyDescent="0.3">
      <c r="A4" s="58">
        <v>3</v>
      </c>
      <c r="B4" s="57" t="str">
        <f>Розрахунок!B13&amp;", №"&amp;VLOOKUP(Розрахунок!B13,Таблица1[[Призвище, Ім''я та По батькові]:[TN]],2,0)</f>
        <v>Деде Анатолій Дмитрович, №50035842</v>
      </c>
      <c r="C4" s="57" t="str">
        <f>VLOOKUP(Розрахунок!B13,'База даних'!B$2:D$31,3,0)</f>
        <v xml:space="preserve">Трубопровідник лінійний </v>
      </c>
      <c r="D4" s="58" t="str">
        <f>Розрахунок!$H$2&amp;" - "&amp;Розрахунок!$H$3</f>
        <v>07.11.2022 - 11.11.2022</v>
      </c>
      <c r="E4" s="60">
        <f>_xlfn.IFNA(IF($B4=0,0,dobovi*dob_days)+IF(worker_3 sep_calc=TRUE,worker_3 dobovi_plus*worker_3 dobovi_plus_days,0),0)</f>
        <v>3000</v>
      </c>
      <c r="F4" s="60">
        <f>_xlfn.IFNA(IF($B4=0,0,projiv*proj_days)+IF(worker_3 sep_calc=TRUE,worker_3 proj_plus*worker_3 proj_plus_days,0),0)</f>
        <v>3600</v>
      </c>
      <c r="G4" s="60">
        <f>_xlfn.IFNA(IF($B4=0,0,proizd*proiz_days)+IF(worker_3 sep_calc=TRUE,worker_3 proiz_plus*worker_3 proiz_plus_days,0),0)</f>
        <v>0</v>
      </c>
      <c r="H4" s="60">
        <f>_xlfn.IFNA(IF($B4=0,0,for_car+other)+IF(worker_3 sep_calc=TRUE,worker_3 for_car_plus+worker_3 other_plus,0),0)</f>
        <v>0</v>
      </c>
      <c r="I4" s="60">
        <f t="shared" si="1"/>
        <v>6600</v>
      </c>
      <c r="J4" s="58"/>
      <c r="K4" s="62" t="b">
        <f>IF(Розрахунок!$M13=TRUE,I4=Розрахунок!W13,I4=Розрахунок!$D$9)</f>
        <v>1</v>
      </c>
    </row>
    <row r="5" spans="1:11" s="62" customFormat="1" ht="30.6" customHeight="1" x14ac:dyDescent="0.3">
      <c r="A5" s="58">
        <v>4</v>
      </c>
      <c r="B5" s="57" t="e">
        <f>Розрахунок!B14&amp;", №"&amp;VLOOKUP(Розрахунок!B14,Таблица1[[Призвище, Ім''я та По батькові]:[TN]],2,0)</f>
        <v>#N/A</v>
      </c>
      <c r="C5" s="57" t="e">
        <f>VLOOKUP(Розрахунок!B14,'База даних'!B$2:D$31,3,0)</f>
        <v>#N/A</v>
      </c>
      <c r="D5" s="58" t="str">
        <f>Розрахунок!$H$2&amp;" - "&amp;Розрахунок!$H$3</f>
        <v>07.11.2022 - 11.11.2022</v>
      </c>
      <c r="E5" s="60">
        <f>_xlfn.IFNA(IF($B5=0,0,dobovi*dob_days)+IF(worker_4 sep_calc=TRUE,worker_4 dobovi_plus*worker_4 dobovi_plus_days,0),0)</f>
        <v>0</v>
      </c>
      <c r="F5" s="60">
        <f>_xlfn.IFNA(IF($B5=0,0,projiv*proj_days)+IF(worker_4 sep_calc=TRUE,worker_4 proj_plus*worker_4 proj_plus_days,0),0)</f>
        <v>0</v>
      </c>
      <c r="G5" s="60">
        <f>_xlfn.IFNA(IF($B5=0,0,proizd*proiz_days)+IF(worker_4 sep_calc=TRUE,worker_4 proiz_plus*worker_4 proiz_plus_days,0),0)</f>
        <v>0</v>
      </c>
      <c r="H5" s="60">
        <f>_xlfn.IFNA(IF($B5=0,0,for_car+other)+IF(worker_4 sep_calc=TRUE,worker_4 for_car_plus+worker_4 other_plus,0),0)</f>
        <v>0</v>
      </c>
      <c r="I5" s="60">
        <f t="shared" si="1"/>
        <v>0</v>
      </c>
      <c r="J5" s="58"/>
      <c r="K5" s="62" t="b">
        <f>IF(Розрахунок!$M14=TRUE,I5=Розрахунок!W14,I5=Розрахунок!$D$9)</f>
        <v>0</v>
      </c>
    </row>
    <row r="6" spans="1:11" s="62" customFormat="1" ht="30.6" customHeight="1" x14ac:dyDescent="0.3">
      <c r="A6" s="58">
        <v>5</v>
      </c>
      <c r="B6" s="57" t="e">
        <f>Розрахунок!B15&amp;", №"&amp;VLOOKUP(Розрахунок!B15,Таблица1[[Призвище, Ім''я та По батькові]:[TN]],2,0)</f>
        <v>#N/A</v>
      </c>
      <c r="C6" s="57" t="e">
        <f>VLOOKUP(Розрахунок!B15,'База даних'!B$2:D$31,3,0)</f>
        <v>#N/A</v>
      </c>
      <c r="D6" s="58" t="str">
        <f>Розрахунок!$H$2&amp;" - "&amp;Розрахунок!$H$3</f>
        <v>07.11.2022 - 11.11.2022</v>
      </c>
      <c r="E6" s="60">
        <f>_xlfn.IFNA(IF($B6=0,0,dobovi*dob_days)+IF(worker_5 sep_calc=TRUE,worker_5 dobovi_plus*worker_5 dobovi_plus_days,0),0)</f>
        <v>0</v>
      </c>
      <c r="F6" s="60">
        <f>_xlfn.IFNA(IF($B6=0,0,projiv*proj_days)+IF(worker_5 sep_calc=TRUE,worker_5 proj_plus*worker_5 proj_plus_days,0),0)</f>
        <v>0</v>
      </c>
      <c r="G6" s="60">
        <f>_xlfn.IFNA(IF($B6=0,0,proizd*proiz_days)+IF(worker_5 sep_calc=TRUE,worker_5 proiz_plus*worker_5 proiz_plus_days,0),0)</f>
        <v>0</v>
      </c>
      <c r="H6" s="60">
        <f>_xlfn.IFNA(IF($B6=0,0,for_car+other)+IF(worker_5 sep_calc=TRUE,worker_5 for_car_plus+worker_5 other_plus,0),0)</f>
        <v>0</v>
      </c>
      <c r="I6" s="60">
        <f t="shared" si="1"/>
        <v>0</v>
      </c>
      <c r="J6" s="58"/>
      <c r="K6" s="62" t="b">
        <f>IF(Розрахунок!$M15=TRUE,I6=Розрахунок!W15,I6=Розрахунок!$D$9)</f>
        <v>0</v>
      </c>
    </row>
    <row r="7" spans="1:11" s="62" customFormat="1" ht="30.6" customHeight="1" x14ac:dyDescent="0.3">
      <c r="A7" s="58">
        <v>6</v>
      </c>
      <c r="B7" s="57" t="e">
        <f>Розрахунок!B16&amp;", №"&amp;VLOOKUP(Розрахунок!B16,Таблица1[[Призвище, Ім''я та По батькові]:[TN]],2,0)</f>
        <v>#N/A</v>
      </c>
      <c r="C7" s="58" t="e">
        <f>VLOOKUP(Розрахунок!B16,'База даних'!B$2:D$31,3,0)</f>
        <v>#N/A</v>
      </c>
      <c r="D7" s="58" t="str">
        <f>Розрахунок!$H$2&amp;" - "&amp;Розрахунок!$H$3</f>
        <v>07.11.2022 - 11.11.2022</v>
      </c>
      <c r="E7" s="60">
        <f>_xlfn.IFNA(IF($B7=0,0,dobovi*dob_days)+IF(worker_6 sep_calc=TRUE,worker_6 dobovi_plus*worker_6 dobovi_plus_days,0),0)</f>
        <v>0</v>
      </c>
      <c r="F7" s="60">
        <f>_xlfn.IFNA(IF($B7=0,0,projiv*proj_days)+IF(worker_6 sep_calc=TRUE,worker_6 proj_plus*worker_6 proj_plus_days,0),0)</f>
        <v>0</v>
      </c>
      <c r="G7" s="60">
        <f>_xlfn.IFNA(IF($B7=0,0,proizd*proiz_days)+IF(worker_6 sep_calc=TRUE,worker_6 proiz_plus*worker_6 proiz_plus_days,0),0)</f>
        <v>0</v>
      </c>
      <c r="H7" s="60">
        <f>_xlfn.IFNA(IF($B7=0,0,for_car+other)+IF(worker_6 sep_calc=TRUE,worker_6 for_car_plus+worker_6 other_plus,0),0)</f>
        <v>0</v>
      </c>
      <c r="I7" s="60">
        <f t="shared" si="1"/>
        <v>0</v>
      </c>
      <c r="J7" s="58"/>
      <c r="K7" s="62" t="b">
        <f>IF(Розрахунок!$M16=TRUE,I7=Розрахунок!W16,I7=Розрахунок!$D$9)</f>
        <v>0</v>
      </c>
    </row>
    <row r="8" spans="1:11" s="62" customFormat="1" ht="30.6" customHeight="1" x14ac:dyDescent="0.3">
      <c r="A8" s="58">
        <v>7</v>
      </c>
      <c r="B8" s="57" t="e">
        <f>Розрахунок!B17&amp;", №"&amp;VLOOKUP(Розрахунок!B17,Таблица1[[Призвище, Ім''я та По батькові]:[TN]],2,0)</f>
        <v>#N/A</v>
      </c>
      <c r="C8" s="58" t="e">
        <f>VLOOKUP(Розрахунок!B17,'База даних'!B$2:D$31,3,0)</f>
        <v>#N/A</v>
      </c>
      <c r="D8" s="58" t="str">
        <f>Розрахунок!$H$2&amp;" - "&amp;Розрахунок!$H$3</f>
        <v>07.11.2022 - 11.11.2022</v>
      </c>
      <c r="E8" s="60">
        <f>_xlfn.IFNA(IF($B8=0,0,dobovi*dob_days)+IF(worker_7 sep_calc=TRUE,worker_7 dobovi_plus*worker_7 dobovi_plus_days,0),0)</f>
        <v>0</v>
      </c>
      <c r="F8" s="60">
        <f>_xlfn.IFNA(IF($B8=0,0,projiv*proj_days)+IF(worker_7 sep_calc=TRUE,worker_7 proj_plus*worker_7 proj_plus_days,0),0)</f>
        <v>0</v>
      </c>
      <c r="G8" s="60">
        <f>_xlfn.IFNA(IF($B8=0,0,proizd*proiz_days)+IF(worker_7 sep_calc=TRUE,worker_7 proiz_plus*worker_7 proiz_plus_days,0),0)</f>
        <v>0</v>
      </c>
      <c r="H8" s="60">
        <f>_xlfn.IFNA(IF($B8=0,0,for_car+other)+IF(worker_7 sep_calc=TRUE,worker_7 for_car_plus+worker_7 other_plus,0),0)</f>
        <v>0</v>
      </c>
      <c r="I8" s="60">
        <f t="shared" ref="I8:I22" si="2">_xlfn.IFNA(IF(B8=0,0,E8+F8+G8+H8),0)</f>
        <v>0</v>
      </c>
      <c r="J8" s="58"/>
      <c r="K8" s="62" t="b">
        <f>IF(Розрахунок!$M17=TRUE,I8=Розрахунок!W17,I8=Розрахунок!$D$9)</f>
        <v>0</v>
      </c>
    </row>
    <row r="9" spans="1:11" s="62" customFormat="1" ht="30.6" customHeight="1" x14ac:dyDescent="0.3">
      <c r="A9" s="58">
        <v>8</v>
      </c>
      <c r="B9" s="57" t="e">
        <f>Розрахунок!B18&amp;", №"&amp;VLOOKUP(Розрахунок!B18,Таблица1[[Призвище, Ім''я та По батькові]:[TN]],2,0)</f>
        <v>#N/A</v>
      </c>
      <c r="C9" s="58" t="e">
        <f>VLOOKUP(Розрахунок!B18,'База даних'!B$2:D$31,3,0)</f>
        <v>#N/A</v>
      </c>
      <c r="D9" s="58" t="str">
        <f>Розрахунок!$H$2&amp;" - "&amp;Розрахунок!$H$3</f>
        <v>07.11.2022 - 11.11.2022</v>
      </c>
      <c r="E9" s="60">
        <f>_xlfn.IFNA(IF($B9=0,0,dobovi*dob_days)+IF(worker_8 sep_calc=TRUE,worker_8 dobovi_plus*worker_8 dobovi_plus_days,0),0)</f>
        <v>0</v>
      </c>
      <c r="F9" s="60">
        <f>_xlfn.IFNA(IF($B9=0,0,projiv*proj_days)+IF(worker_8 sep_calc=TRUE,worker_8 proj_plus*worker_8 proj_plus_days,0),0)</f>
        <v>0</v>
      </c>
      <c r="G9" s="60">
        <f>_xlfn.IFNA(IF($B9=0,0,proizd*proiz_days)+IF(worker_8 sep_calc=TRUE,worker_8 proiz_plus*worker_8 proiz_plus_days,0),0)</f>
        <v>0</v>
      </c>
      <c r="H9" s="60">
        <f>_xlfn.IFNA(IF($B9=0,0,for_car+other)+IF(worker_8 sep_calc=TRUE,worker_8 for_car_plus+worker_8 other_plus,0),0)</f>
        <v>0</v>
      </c>
      <c r="I9" s="60">
        <f t="shared" si="2"/>
        <v>0</v>
      </c>
      <c r="J9" s="58"/>
      <c r="K9" s="62" t="b">
        <f>IF(Розрахунок!$M18=TRUE,I9=Розрахунок!W18,I9=Розрахунок!$D$9)</f>
        <v>0</v>
      </c>
    </row>
    <row r="10" spans="1:11" s="62" customFormat="1" ht="30.6" customHeight="1" x14ac:dyDescent="0.3">
      <c r="A10" s="58">
        <v>9</v>
      </c>
      <c r="B10" s="57" t="e">
        <f>Розрахунок!B19&amp;", №"&amp;VLOOKUP(Розрахунок!B19,Таблица1[[Призвище, Ім''я та По батькові]:[TN]],2,0)</f>
        <v>#N/A</v>
      </c>
      <c r="C10" s="58" t="e">
        <f>VLOOKUP(Розрахунок!B19,'База даних'!B$2:D$31,3,0)</f>
        <v>#N/A</v>
      </c>
      <c r="D10" s="58" t="str">
        <f>Розрахунок!$H$2&amp;" - "&amp;Розрахунок!$H$3</f>
        <v>07.11.2022 - 11.11.2022</v>
      </c>
      <c r="E10" s="60">
        <f>_xlfn.IFNA(IF($B10=0,0,dobovi*dob_days)+IF(worker_9 sep_calc=TRUE,worker_9 dobovi_plus*worker_9 dobovi_plus_days,0),0)</f>
        <v>0</v>
      </c>
      <c r="F10" s="60">
        <f>_xlfn.IFNA(IF($B10=0,0,projiv*proj_days)+IF(worker_9 sep_calc=TRUE,worker_9 proj_plus*worker_9 proj_plus_days,0),0)</f>
        <v>0</v>
      </c>
      <c r="G10" s="60">
        <f>_xlfn.IFNA(IF($B10=0,0,proizd*proiz_days)+IF(worker_9 sep_calc=TRUE,worker_9 proiz_plus*worker_9 proiz_plus_days,0),0)</f>
        <v>0</v>
      </c>
      <c r="H10" s="60">
        <f>_xlfn.IFNA(IF($B10=0,0,for_car+other)+IF(worker_9 sep_calc=TRUE,worker_9 for_car_plus+worker_9 other_plus,0),0)</f>
        <v>0</v>
      </c>
      <c r="I10" s="60">
        <f t="shared" si="2"/>
        <v>0</v>
      </c>
      <c r="J10" s="58"/>
      <c r="K10" s="62" t="b">
        <f>IF(Розрахунок!$M19=TRUE,I10=Розрахунок!W19,I10=Розрахунок!$D$9)</f>
        <v>0</v>
      </c>
    </row>
    <row r="11" spans="1:11" s="62" customFormat="1" ht="30.6" customHeight="1" x14ac:dyDescent="0.3">
      <c r="A11" s="58">
        <v>10</v>
      </c>
      <c r="B11" s="57" t="e">
        <f>Розрахунок!B20&amp;", №"&amp;VLOOKUP(Розрахунок!B20,Таблица1[[Призвище, Ім''я та По батькові]:[TN]],2,0)</f>
        <v>#N/A</v>
      </c>
      <c r="C11" s="58" t="e">
        <f>VLOOKUP(Розрахунок!B20,'База даних'!B$2:D$31,3,0)</f>
        <v>#N/A</v>
      </c>
      <c r="D11" s="58" t="str">
        <f>Розрахунок!$H$2&amp;" - "&amp;Розрахунок!$H$3</f>
        <v>07.11.2022 - 11.11.2022</v>
      </c>
      <c r="E11" s="60">
        <f>_xlfn.IFNA(IF($B11=0,0,dobovi*dob_days)+IF(worker_10 sep_calc=TRUE,worker_10 dobovi_plus*worker_10 dobovi_plus_days,0),0)</f>
        <v>0</v>
      </c>
      <c r="F11" s="60">
        <f>_xlfn.IFNA(IF($B11=0,0,projiv*proj_days)+IF(worker_10 sep_calc=TRUE,worker_10 proj_plus*worker_10 proj_plus_days,0),0)</f>
        <v>0</v>
      </c>
      <c r="G11" s="60">
        <f>_xlfn.IFNA(IF($B11=0,0,proizd*proiz_days)+IF(worker_10 sep_calc=TRUE,worker_10 proiz_plus*worker_10 proiz_plus_days,0),0)</f>
        <v>0</v>
      </c>
      <c r="H11" s="60">
        <f>_xlfn.IFNA(IF($B11=0,0,for_car+other)+IF(worker_10 sep_calc=TRUE,worker_10 for_car_plus+worker_10 other_plus,0),0)</f>
        <v>0</v>
      </c>
      <c r="I11" s="60">
        <f t="shared" si="2"/>
        <v>0</v>
      </c>
      <c r="J11" s="58"/>
      <c r="K11" s="62" t="b">
        <f>IF(Розрахунок!$M20=TRUE,I11=Розрахунок!W20,I11=Розрахунок!$D$9)</f>
        <v>0</v>
      </c>
    </row>
    <row r="12" spans="1:11" s="62" customFormat="1" ht="30.6" customHeight="1" x14ac:dyDescent="0.3">
      <c r="A12" s="58">
        <v>11</v>
      </c>
      <c r="B12" s="57" t="e">
        <f>Розрахунок!B21&amp;", №"&amp;VLOOKUP(Розрахунок!B21,Таблица1[[Призвище, Ім''я та По батькові]:[TN]],2,0)</f>
        <v>#N/A</v>
      </c>
      <c r="C12" s="58" t="e">
        <f>VLOOKUP(Розрахунок!B21,'База даних'!B$2:D$31,3,0)</f>
        <v>#N/A</v>
      </c>
      <c r="D12" s="58" t="str">
        <f>Розрахунок!$H$2&amp;" - "&amp;Розрахунок!$H$3</f>
        <v>07.11.2022 - 11.11.2022</v>
      </c>
      <c r="E12" s="60">
        <f>_xlfn.IFNA(IF($B12=0,0,dobovi*dob_days)+IF(worker_11 sep_calc=TRUE,worker_11 dobovi_plus*worker_11 dobovi_plus_days,0),0)</f>
        <v>0</v>
      </c>
      <c r="F12" s="60">
        <f>_xlfn.IFNA(IF($B12=0,0,projiv*proj_days)+IF(worker_11 sep_calc=TRUE,worker_11 proj_plus*worker_11 proj_plus_days,0),0)</f>
        <v>0</v>
      </c>
      <c r="G12" s="60">
        <f>_xlfn.IFNA(IF($B12=0,0,proizd*proiz_days)+IF(worker_11 sep_calc=TRUE,worker_11 proiz_plus*worker_11 proiz_plus_days,0),0)</f>
        <v>0</v>
      </c>
      <c r="H12" s="60">
        <f>_xlfn.IFNA(IF($B12=0,0,for_car+other)+IF(worker_11 sep_calc=TRUE,worker_11 for_car_plus+worker_11 other_plus,0),0)</f>
        <v>0</v>
      </c>
      <c r="I12" s="60">
        <f t="shared" si="2"/>
        <v>0</v>
      </c>
      <c r="J12" s="58"/>
      <c r="K12" s="62" t="b">
        <f>IF(Розрахунок!$M21=TRUE,I12=Розрахунок!W21,I12=Розрахунок!$D$9)</f>
        <v>0</v>
      </c>
    </row>
    <row r="13" spans="1:11" s="62" customFormat="1" ht="30.6" customHeight="1" x14ac:dyDescent="0.3">
      <c r="A13" s="58">
        <v>12</v>
      </c>
      <c r="B13" s="57" t="e">
        <f>Розрахунок!B22&amp;", №"&amp;VLOOKUP(Розрахунок!B22,Таблица1[[Призвище, Ім''я та По батькові]:[TN]],2,0)</f>
        <v>#N/A</v>
      </c>
      <c r="C13" s="58" t="e">
        <f>VLOOKUP(Розрахунок!B22,'База даних'!B$2:D$31,3,0)</f>
        <v>#N/A</v>
      </c>
      <c r="D13" s="58" t="str">
        <f>Розрахунок!$H$2&amp;" - "&amp;Розрахунок!$H$3</f>
        <v>07.11.2022 - 11.11.2022</v>
      </c>
      <c r="E13" s="60">
        <f>_xlfn.IFNA(IF($B13=0,0,dobovi*dob_days)+IF(worker_12 sep_calc=TRUE,worker_12 dobovi_plus*worker_12 dobovi_plus_days,0),0)</f>
        <v>0</v>
      </c>
      <c r="F13" s="60">
        <f>_xlfn.IFNA(IF($B13=0,0,projiv*proj_days)+IF(worker_12 sep_calc=TRUE,worker_12 proj_plus*worker_12 proj_plus_days,0),0)</f>
        <v>0</v>
      </c>
      <c r="G13" s="60">
        <f>_xlfn.IFNA(IF($B13=0,0,proizd*proiz_days)+IF(worker_12 sep_calc=TRUE,worker_12 proiz_plus*worker_12 proiz_plus_days,0),0)</f>
        <v>0</v>
      </c>
      <c r="H13" s="60">
        <f>_xlfn.IFNA(IF($B13=0,0,for_car+other)+IF(worker_12 sep_calc=TRUE,worker_12 for_car_plus+worker_12 other_plus,0),0)</f>
        <v>0</v>
      </c>
      <c r="I13" s="60">
        <f t="shared" si="2"/>
        <v>0</v>
      </c>
      <c r="J13" s="58"/>
      <c r="K13" s="62" t="b">
        <f>IF(Розрахунок!$M22=TRUE,I13=Розрахунок!W22,I13=Розрахунок!$D$9)</f>
        <v>0</v>
      </c>
    </row>
    <row r="14" spans="1:11" s="62" customFormat="1" ht="30.6" customHeight="1" x14ac:dyDescent="0.3">
      <c r="A14" s="58">
        <v>13</v>
      </c>
      <c r="B14" s="57" t="e">
        <f>Розрахунок!B23&amp;", №"&amp;VLOOKUP(Розрахунок!B23,Таблица1[[Призвище, Ім''я та По батькові]:[TN]],2,0)</f>
        <v>#N/A</v>
      </c>
      <c r="C14" s="58" t="e">
        <f>VLOOKUP(Розрахунок!B23,'База даних'!B$2:D$31,3,0)</f>
        <v>#N/A</v>
      </c>
      <c r="D14" s="58" t="str">
        <f>Розрахунок!$H$2&amp;" - "&amp;Розрахунок!$H$3</f>
        <v>07.11.2022 - 11.11.2022</v>
      </c>
      <c r="E14" s="60">
        <f>_xlfn.IFNA(IF($B14=0,0,dobovi*dob_days)+IF(worker_13 sep_calc=TRUE,worker_13 dobovi_plus*worker_13 dobovi_plus_days,0),0)</f>
        <v>0</v>
      </c>
      <c r="F14" s="60">
        <f>_xlfn.IFNA(IF($B14=0,0,projiv*proj_days)+IF(worker_13 sep_calc=TRUE,worker_13 proj_plus*worker_13 proj_plus_days,0),0)</f>
        <v>0</v>
      </c>
      <c r="G14" s="60">
        <f>_xlfn.IFNA(IF($B14=0,0,proizd*proiz_days)+IF(worker_13 sep_calc=TRUE,worker_13 proiz_plus*worker_13 proiz_plus_days,0),0)</f>
        <v>0</v>
      </c>
      <c r="H14" s="60">
        <f>_xlfn.IFNA(IF($B14=0,0,for_car+other)+IF(worker_13 sep_calc=TRUE,worker_13 for_car_plus+worker_13 other_plus,0),0)</f>
        <v>0</v>
      </c>
      <c r="I14" s="60">
        <f t="shared" si="2"/>
        <v>0</v>
      </c>
      <c r="J14" s="58"/>
      <c r="K14" s="62" t="b">
        <f>IF(Розрахунок!$M23=TRUE,I14=Розрахунок!W23,I14=Розрахунок!$D$9)</f>
        <v>0</v>
      </c>
    </row>
    <row r="15" spans="1:11" s="62" customFormat="1" ht="30.6" customHeight="1" x14ac:dyDescent="0.3">
      <c r="A15" s="58">
        <v>14</v>
      </c>
      <c r="B15" s="57" t="e">
        <f>Розрахунок!B24&amp;", №"&amp;VLOOKUP(Розрахунок!B24,Таблица1[[Призвище, Ім''я та По батькові]:[TN]],2,0)</f>
        <v>#N/A</v>
      </c>
      <c r="C15" s="58" t="e">
        <f>VLOOKUP(Розрахунок!B24,'База даних'!B$2:D$31,3,0)</f>
        <v>#N/A</v>
      </c>
      <c r="D15" s="58" t="str">
        <f>Розрахунок!$H$2&amp;" - "&amp;Розрахунок!$H$3</f>
        <v>07.11.2022 - 11.11.2022</v>
      </c>
      <c r="E15" s="60">
        <f>_xlfn.IFNA(IF($B15=0,0,dobovi*dob_days)+IF(worker_14 sep_calc=TRUE,worker_14 dobovi_plus*worker_14 dobovi_plus_days,0),0)</f>
        <v>0</v>
      </c>
      <c r="F15" s="60">
        <f>_xlfn.IFNA(IF($B15=0,0,projiv*proj_days)+IF(worker_14 sep_calc=TRUE,worker_14 proj_plus*worker_14 proj_plus_days,0),0)</f>
        <v>0</v>
      </c>
      <c r="G15" s="60">
        <f>_xlfn.IFNA(IF($B15=0,0,proizd*proiz_days)+IF(worker_14 sep_calc=TRUE,worker_14 proiz_plus*worker_14 proiz_plus_days,0),0)</f>
        <v>0</v>
      </c>
      <c r="H15" s="60">
        <f>_xlfn.IFNA(IF($B15=0,0,for_car+other)+IF(worker_14 sep_calc=TRUE,worker_14 for_car_plus+worker_14 other_plus,0),0)</f>
        <v>0</v>
      </c>
      <c r="I15" s="60">
        <f t="shared" si="2"/>
        <v>0</v>
      </c>
      <c r="J15" s="58"/>
      <c r="K15" s="62" t="b">
        <f>IF(Розрахунок!$M24=TRUE,I15=Розрахунок!W24,I15=Розрахунок!$D$9)</f>
        <v>0</v>
      </c>
    </row>
    <row r="16" spans="1:11" s="62" customFormat="1" ht="30.6" customHeight="1" x14ac:dyDescent="0.3">
      <c r="A16" s="58">
        <v>15</v>
      </c>
      <c r="B16" s="57" t="e">
        <f>Розрахунок!B25&amp;", №"&amp;VLOOKUP(Розрахунок!B25,Таблица1[[Призвище, Ім''я та По батькові]:[TN]],2,0)</f>
        <v>#N/A</v>
      </c>
      <c r="C16" s="58" t="e">
        <f>VLOOKUP(Розрахунок!B25,'База даних'!B$2:D$31,3,0)</f>
        <v>#N/A</v>
      </c>
      <c r="D16" s="58" t="str">
        <f>Розрахунок!$H$2&amp;" - "&amp;Розрахунок!$H$3</f>
        <v>07.11.2022 - 11.11.2022</v>
      </c>
      <c r="E16" s="60">
        <f>_xlfn.IFNA(IF($B16=0,0,dobovi*dob_days)+IF(worker_15 sep_calc=TRUE,worker_15 dobovi_plus*worker_15 dobovi_plus_days,0),0)</f>
        <v>0</v>
      </c>
      <c r="F16" s="60">
        <f>_xlfn.IFNA(IF($B16=0,0,projiv*proj_days)+IF(worker_15 sep_calc=TRUE,worker_15 proj_plus*worker_15 proj_plus_days,0),0)</f>
        <v>0</v>
      </c>
      <c r="G16" s="60">
        <f>_xlfn.IFNA(IF($B16=0,0,proizd*proiz_days)+IF(worker_15 sep_calc=TRUE,worker_15 proiz_plus*worker_15 proiz_plus_days,0),0)</f>
        <v>0</v>
      </c>
      <c r="H16" s="60">
        <f>_xlfn.IFNA(IF($B16=0,0,for_car+other)+IF(worker_15 sep_calc=TRUE,worker_15 for_car_plus+worker_15 other_plus,0),0)</f>
        <v>0</v>
      </c>
      <c r="I16" s="60">
        <f t="shared" si="2"/>
        <v>0</v>
      </c>
      <c r="J16" s="58"/>
      <c r="K16" s="62" t="b">
        <f>IF(Розрахунок!$M25=TRUE,I16=Розрахунок!W25,I16=Розрахунок!$D$9)</f>
        <v>0</v>
      </c>
    </row>
    <row r="17" spans="1:11" s="62" customFormat="1" ht="30.6" customHeight="1" x14ac:dyDescent="0.3">
      <c r="A17" s="58">
        <v>16</v>
      </c>
      <c r="B17" s="57" t="e">
        <f>Розрахунок!B26&amp;", №"&amp;VLOOKUP(Розрахунок!B26,Таблица1[[Призвище, Ім''я та По батькові]:[TN]],2,0)</f>
        <v>#N/A</v>
      </c>
      <c r="C17" s="58" t="e">
        <f>VLOOKUP(Розрахунок!B26,'База даних'!B$2:D$31,3,0)</f>
        <v>#N/A</v>
      </c>
      <c r="D17" s="58" t="str">
        <f>Розрахунок!$H$2&amp;" - "&amp;Розрахунок!$H$3</f>
        <v>07.11.2022 - 11.11.2022</v>
      </c>
      <c r="E17" s="60">
        <f>_xlfn.IFNA(IF($B17=0,0,dobovi*dob_days)+IF(worker_16 sep_calc=TRUE,worker_16 dobovi_plus*worker_16 dobovi_plus_days,0),0)</f>
        <v>0</v>
      </c>
      <c r="F17" s="60">
        <f>_xlfn.IFNA(IF($B17=0,0,projiv*proj_days)+IF(worker_16 sep_calc=TRUE,worker_16 proj_plus*worker_16 proj_plus_days,0),0)</f>
        <v>0</v>
      </c>
      <c r="G17" s="60">
        <f>_xlfn.IFNA(IF($B17=0,0,proizd*proiz_days)+IF(worker_16 sep_calc=TRUE,worker_16 proiz_plus*worker_16 proiz_plus_days,0),0)</f>
        <v>0</v>
      </c>
      <c r="H17" s="60">
        <f>_xlfn.IFNA(IF($B17=0,0,for_car+other)+IF(worker_16 sep_calc=TRUE,worker_16 for_car_plus+worker_16 other_plus,0),0)</f>
        <v>0</v>
      </c>
      <c r="I17" s="60">
        <f t="shared" si="2"/>
        <v>0</v>
      </c>
      <c r="J17" s="58"/>
      <c r="K17" s="62" t="b">
        <f>IF(Розрахунок!$M26=TRUE,I17=Розрахунок!W26,I17=Розрахунок!$D$9)</f>
        <v>0</v>
      </c>
    </row>
    <row r="18" spans="1:11" s="62" customFormat="1" ht="30.6" customHeight="1" x14ac:dyDescent="0.3">
      <c r="A18" s="58">
        <v>17</v>
      </c>
      <c r="B18" s="57" t="e">
        <f>Розрахунок!B27&amp;", №"&amp;VLOOKUP(Розрахунок!B27,Таблица1[[Призвище, Ім''я та По батькові]:[TN]],2,0)</f>
        <v>#N/A</v>
      </c>
      <c r="C18" s="58" t="e">
        <f>VLOOKUP(Розрахунок!B27,'База даних'!B$2:D$31,3,0)</f>
        <v>#N/A</v>
      </c>
      <c r="D18" s="58" t="str">
        <f>Розрахунок!$H$2&amp;" - "&amp;Розрахунок!$H$3</f>
        <v>07.11.2022 - 11.11.2022</v>
      </c>
      <c r="E18" s="60">
        <f>_xlfn.IFNA(IF($B18=0,0,dobovi*dob_days)+IF(worker_17 sep_calc=TRUE,worker_17 dobovi_plus*worker_17 dobovi_plus_days,0),0)</f>
        <v>0</v>
      </c>
      <c r="F18" s="60">
        <f>_xlfn.IFNA(IF($B18=0,0,projiv*proj_days)+IF(worker_17 sep_calc=TRUE,worker_17 proj_plus*worker_17 proj_plus_days,0),0)</f>
        <v>0</v>
      </c>
      <c r="G18" s="60">
        <f>_xlfn.IFNA(IF($B18=0,0,proizd*proiz_days)+IF(worker_17 sep_calc=TRUE,worker_17 proiz_plus*worker_17 proiz_plus_days,0),0)</f>
        <v>0</v>
      </c>
      <c r="H18" s="60">
        <f>_xlfn.IFNA(IF($B18=0,0,for_car+other)+IF(worker_17 sep_calc=TRUE,worker_17 for_car_plus+worker_17 other_plus,0),0)</f>
        <v>0</v>
      </c>
      <c r="I18" s="60">
        <f t="shared" si="2"/>
        <v>0</v>
      </c>
      <c r="J18" s="58"/>
      <c r="K18" s="62" t="b">
        <f>IF(Розрахунок!$M27=TRUE,I18=Розрахунок!W27,I18=Розрахунок!$D$9)</f>
        <v>0</v>
      </c>
    </row>
    <row r="19" spans="1:11" s="62" customFormat="1" ht="30.6" customHeight="1" x14ac:dyDescent="0.3">
      <c r="A19" s="58">
        <v>18</v>
      </c>
      <c r="B19" s="57" t="e">
        <f>Розрахунок!B28&amp;", №"&amp;VLOOKUP(Розрахунок!B28,Таблица1[[Призвище, Ім''я та По батькові]:[TN]],2,0)</f>
        <v>#N/A</v>
      </c>
      <c r="C19" s="58" t="e">
        <f>VLOOKUP(Розрахунок!B28,'База даних'!B$2:D$31,3,0)</f>
        <v>#N/A</v>
      </c>
      <c r="D19" s="58" t="str">
        <f>Розрахунок!$H$2&amp;" - "&amp;Розрахунок!$H$3</f>
        <v>07.11.2022 - 11.11.2022</v>
      </c>
      <c r="E19" s="60">
        <f>_xlfn.IFNA(IF($B19=0,0,dobovi*dob_days)+IF(worker_18 sep_calc=TRUE,worker_18 dobovi_plus*worker_18 dobovi_plus_days,0),0)</f>
        <v>0</v>
      </c>
      <c r="F19" s="60">
        <f>_xlfn.IFNA(IF($B19=0,0,projiv*proj_days)+IF(worker_18 sep_calc=TRUE,worker_18 proj_plus*worker_18 proj_plus_days,0),0)</f>
        <v>0</v>
      </c>
      <c r="G19" s="60">
        <f>_xlfn.IFNA(IF($B19=0,0,proizd*proiz_days)+IF(worker_18 sep_calc=TRUE,worker_18 proiz_plus*worker_18 proiz_plus_days,0),0)</f>
        <v>0</v>
      </c>
      <c r="H19" s="60">
        <f>_xlfn.IFNA(IF($B19=0,0,for_car+other)+IF(worker_18 sep_calc=TRUE,worker_18 for_car_plus+worker_18 other_plus,0),0)</f>
        <v>0</v>
      </c>
      <c r="I19" s="60">
        <f t="shared" si="2"/>
        <v>0</v>
      </c>
      <c r="J19" s="58"/>
      <c r="K19" s="62" t="b">
        <f>IF(Розрахунок!$M28=TRUE,I19=Розрахунок!W28,I19=Розрахунок!$D$9)</f>
        <v>0</v>
      </c>
    </row>
    <row r="20" spans="1:11" s="62" customFormat="1" ht="30.6" customHeight="1" x14ac:dyDescent="0.3">
      <c r="A20" s="58">
        <v>19</v>
      </c>
      <c r="B20" s="57" t="e">
        <f>Розрахунок!B29&amp;", №"&amp;VLOOKUP(Розрахунок!B29,Таблица1[[Призвище, Ім''я та По батькові]:[TN]],2,0)</f>
        <v>#N/A</v>
      </c>
      <c r="C20" s="58" t="e">
        <f>VLOOKUP(Розрахунок!B29,'База даних'!B$2:D$31,3,0)</f>
        <v>#N/A</v>
      </c>
      <c r="D20" s="58" t="str">
        <f>Розрахунок!$H$2&amp;" - "&amp;Розрахунок!$H$3</f>
        <v>07.11.2022 - 11.11.2022</v>
      </c>
      <c r="E20" s="60">
        <f>_xlfn.IFNA(IF($B20=0,0,dobovi*dob_days)+IF(worker_19 sep_calc=TRUE,worker_19 dobovi_plus*worker_19 dobovi_plus_days,0),0)</f>
        <v>0</v>
      </c>
      <c r="F20" s="60">
        <f>_xlfn.IFNA(IF($B20=0,0,projiv*proj_days)+IF(worker_19 sep_calc=TRUE,worker_19 proj_plus*worker_19 proj_plus_days,0),0)</f>
        <v>0</v>
      </c>
      <c r="G20" s="60">
        <f>_xlfn.IFNA(IF($B20=0,0,proizd*proiz_days)+IF(worker_19 sep_calc=TRUE,worker_19 proiz_plus*worker_19 proiz_plus_days,0),0)</f>
        <v>0</v>
      </c>
      <c r="H20" s="60">
        <f>_xlfn.IFNA(IF($B20=0,0,for_car+other)+IF(worker_19 sep_calc=TRUE,worker_19 for_car_plus+worker_19 other_plus,0),0)</f>
        <v>0</v>
      </c>
      <c r="I20" s="60">
        <f t="shared" si="2"/>
        <v>0</v>
      </c>
      <c r="J20" s="58"/>
      <c r="K20" s="62" t="b">
        <f>IF(Розрахунок!$M29=TRUE,I20=Розрахунок!W29,I20=Розрахунок!$D$9)</f>
        <v>0</v>
      </c>
    </row>
    <row r="21" spans="1:11" s="62" customFormat="1" ht="30.6" customHeight="1" x14ac:dyDescent="0.3">
      <c r="A21" s="58">
        <v>20</v>
      </c>
      <c r="B21" s="57" t="e">
        <f>Розрахунок!B30&amp;", №"&amp;VLOOKUP(Розрахунок!B30,Таблица1[[Призвище, Ім''я та По батькові]:[TN]],2,0)</f>
        <v>#N/A</v>
      </c>
      <c r="C21" s="58" t="e">
        <f>VLOOKUP(Розрахунок!B30,'База даних'!B$2:D$31,3,0)</f>
        <v>#N/A</v>
      </c>
      <c r="D21" s="58" t="str">
        <f>Розрахунок!$H$2&amp;" - "&amp;Розрахунок!$H$3</f>
        <v>07.11.2022 - 11.11.2022</v>
      </c>
      <c r="E21" s="60">
        <f>_xlfn.IFNA(IF($B21=0,0,dobovi*dob_days)+IF(worker_20 sep_calc=TRUE,worker_20 dobovi_plus*worker_20 dobovi_plus_days,0),0)</f>
        <v>0</v>
      </c>
      <c r="F21" s="60">
        <f>_xlfn.IFNA(IF($B21=0,0,projiv*proj_days)+IF(worker_20 sep_calc=TRUE,worker_20 proj_plus*worker_20 proj_plus_days,0),0)</f>
        <v>0</v>
      </c>
      <c r="G21" s="60">
        <f>_xlfn.IFNA(IF($B21=0,0,proizd*proiz_days)+IF(worker_20 sep_calc=TRUE,worker_20 proiz_plus*worker_20 proiz_plus_days,0),0)</f>
        <v>0</v>
      </c>
      <c r="H21" s="60">
        <f>_xlfn.IFNA(IF($B21=0,0,for_car+other)+IF(worker_20 sep_calc=TRUE,worker_20 for_car_plus+worker_20 other_plus,0),0)</f>
        <v>0</v>
      </c>
      <c r="I21" s="60">
        <f t="shared" si="2"/>
        <v>0</v>
      </c>
      <c r="J21" s="58"/>
      <c r="K21" s="62" t="b">
        <f>IF(Розрахунок!$M30=TRUE,I21=Розрахунок!W30,I21=Розрахунок!$D$9)</f>
        <v>0</v>
      </c>
    </row>
    <row r="22" spans="1:11" s="62" customFormat="1" ht="30.6" customHeight="1" x14ac:dyDescent="0.3">
      <c r="A22" s="58">
        <v>21</v>
      </c>
      <c r="B22" s="57" t="e">
        <f>Розрахунок!B31&amp;", №"&amp;VLOOKUP(Розрахунок!B31,Таблица1[[Призвище, Ім''я та По батькові]:[TN]],2,0)</f>
        <v>#N/A</v>
      </c>
      <c r="C22" s="58" t="e">
        <f>VLOOKUP(Розрахунок!B31,'База даних'!B$2:D$31,3,0)</f>
        <v>#N/A</v>
      </c>
      <c r="D22" s="58" t="str">
        <f>Розрахунок!$H$2&amp;" - "&amp;Розрахунок!$H$3</f>
        <v>07.11.2022 - 11.11.2022</v>
      </c>
      <c r="E22" s="60">
        <f>_xlfn.IFNA(IF($B22=0,0,dobovi*dob_days)+IF(worker_21 sep_calc=TRUE,worker_21 dobovi_plus*worker_21 dobovi_plus_days,0),0)</f>
        <v>0</v>
      </c>
      <c r="F22" s="60">
        <f>_xlfn.IFNA(IF($B22=0,0,projiv*proj_days)+IF(worker_21 sep_calc=TRUE,worker_21 proj_plus*worker_21 proj_plus_days,0),0)</f>
        <v>0</v>
      </c>
      <c r="G22" s="60">
        <f>_xlfn.IFNA(IF($B22=0,0,proizd*proiz_days)+IF(worker_21 sep_calc=TRUE,worker_21 proiz_plus*worker_21 proiz_plus_days,0),0)</f>
        <v>0</v>
      </c>
      <c r="H22" s="60">
        <f>_xlfn.IFNA(IF($B22=0,0,for_car+other)+IF(worker_21 sep_calc=TRUE,worker_21 for_car_plus+worker_21 other_plus,0),0)</f>
        <v>0</v>
      </c>
      <c r="I22" s="60">
        <f t="shared" si="2"/>
        <v>0</v>
      </c>
      <c r="J22" s="58"/>
      <c r="K22" s="62" t="b">
        <f>IF(Розрахунок!$M31=TRUE,I22=Розрахунок!W31,I22=Розрахунок!$D$9)</f>
        <v>0</v>
      </c>
    </row>
    <row r="23" spans="1:11" ht="30.6" customHeight="1" x14ac:dyDescent="0.3">
      <c r="A23" s="61"/>
      <c r="B23" s="121" t="s">
        <v>75</v>
      </c>
      <c r="C23" s="61"/>
      <c r="D23" s="58"/>
      <c r="E23" s="60">
        <f>SUM(E2:E22)</f>
        <v>9000</v>
      </c>
      <c r="F23" s="60">
        <f>SUM(F2:F22)</f>
        <v>12000</v>
      </c>
      <c r="G23" s="60">
        <f>SUM(G2:G22)</f>
        <v>0</v>
      </c>
      <c r="H23" s="60">
        <f>SUM(H2:H22)</f>
        <v>0</v>
      </c>
      <c r="I23" s="60">
        <f>SUM(I2:I22)</f>
        <v>21000</v>
      </c>
      <c r="J23" s="61"/>
      <c r="K23" s="62"/>
    </row>
  </sheetData>
  <sheetProtection sheet="1" objects="1" scenarios="1"/>
  <pageMargins left="0.25" right="0.25" top="0.75" bottom="0.75" header="0.3" footer="0.3"/>
  <pageSetup paperSize="9" scale="72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5" tint="0.59999389629810485"/>
  </sheetPr>
  <dimension ref="A1:I100"/>
  <sheetViews>
    <sheetView zoomScaleNormal="100" workbookViewId="0"/>
  </sheetViews>
  <sheetFormatPr defaultRowHeight="14.4" x14ac:dyDescent="0.3"/>
  <cols>
    <col min="1" max="1" width="37.6640625" customWidth="1"/>
    <col min="2" max="3" width="15.5546875" style="26" customWidth="1"/>
    <col min="4" max="4" width="20.6640625" style="26" customWidth="1"/>
    <col min="6" max="6" width="12.6640625" style="27" customWidth="1"/>
    <col min="7" max="7" width="11.77734375" style="27" customWidth="1"/>
    <col min="8" max="8" width="15.109375" style="27" customWidth="1"/>
    <col min="9" max="9" width="44.44140625" style="27" customWidth="1"/>
  </cols>
  <sheetData>
    <row r="1" spans="1:9" ht="30" customHeight="1" x14ac:dyDescent="0.3">
      <c r="A1" s="1" t="str">
        <f>'База даних'!B2</f>
        <v>Литвинюк Андрій Васильович</v>
      </c>
      <c r="B1" s="28" t="str">
        <f>TRIM(LEFT(A1,FIND(" ",A1,1)))</f>
        <v>Литвинюк</v>
      </c>
      <c r="C1" s="29" t="str">
        <f>TRIM(LEFT(TRIM(RIGHT(A1,LEN(A1)-LEN(B1))),FIND(" ",TRIM(RIGHT(A1,LEN(A1)-LEN(B1))),1)))</f>
        <v>Андрій</v>
      </c>
      <c r="D1" s="29" t="str">
        <f>TRIM(RIGHT(A1,LEN(A1)-LEN(C1)-LEN(B1)-2))</f>
        <v>Васильович</v>
      </c>
      <c r="E1" s="30" t="b">
        <f>OR(RIGHT(B1,1)="о",RIGHT(B1,1)="у",RIGHT(B1,1)="и",RIGHT(B1,1)="і",RIGHT(B1,1)="е")</f>
        <v>0</v>
      </c>
      <c r="F1" s="30" t="str">
        <f t="shared" ref="F1:F15" si="0">IF(E1=TRUE,B1,IF(AND(RIGHT(B1,2)="ва",RIGHT(B1,1)="а"),LEFT(B1,LEN(B1)-1)&amp;"і",IF(RIGHT(B1,2)="ий",LEFT(B1,LEN(B1)-2)&amp;"ому",IF(RIGHT(B1,1)="а",LEFT(B1,LEN(B1)-1)&amp;"ові",B1&amp;"у"))))</f>
        <v>Литвинюку</v>
      </c>
      <c r="G1" s="30" t="str">
        <f t="shared" ref="G1:G15" si="1">IF(RIGHT(C1,2)="ій",LEFT(C1,LEN(C1)-1)&amp;"ю",IF(RIGHT(C1,1)="а",LEFT(C1,LEN(C1)-1)&amp;"і",IF(RIGHT(C1,1)="о",LEFT(C1,LEN(C1)-1)&amp;"у",LEFT(C1,LEN(C1))&amp;"у")))</f>
        <v>Андрію</v>
      </c>
      <c r="H1" s="30" t="str">
        <f>D1&amp;"у"</f>
        <v>Васильовичу</v>
      </c>
      <c r="I1" s="30" t="str">
        <f>F1&amp;" "&amp;G1&amp;" "&amp;H1</f>
        <v>Литвинюку Андрію Васильовичу</v>
      </c>
    </row>
    <row r="2" spans="1:9" ht="30" customHeight="1" x14ac:dyDescent="0.3">
      <c r="A2" s="1" t="str">
        <f>'База даних'!B3</f>
        <v>Боровський Олег Афанасійович</v>
      </c>
      <c r="B2" s="28" t="str">
        <f t="shared" ref="B2:B20" si="2">TRIM(LEFT(A2,FIND(" ",A2,1)))</f>
        <v>Боровський</v>
      </c>
      <c r="C2" s="28" t="str">
        <f>TRIM(LEFT(TRIM(RIGHT(A2,LEN(A2)-LEN(B2))),FIND(" ",TRIM(RIGHT(A2,LEN(A2)-LEN(B2))),1)))</f>
        <v>Олег</v>
      </c>
      <c r="D2" s="29" t="str">
        <f>TRIM(RIGHT(A2,LEN(A2)-LEN(C2)-LEN(B2)-2))</f>
        <v>Афанасійович</v>
      </c>
      <c r="E2" s="30" t="b">
        <f t="shared" ref="E2:E20" si="3">OR(RIGHT(B2,1)="о",RIGHT(B2,1)="у",RIGHT(B2,1)="и",RIGHT(B2,1)="і",RIGHT(B2,1)="е")</f>
        <v>0</v>
      </c>
      <c r="F2" s="30" t="str">
        <f t="shared" si="0"/>
        <v>Боровському</v>
      </c>
      <c r="G2" s="30" t="str">
        <f t="shared" si="1"/>
        <v>Олегу</v>
      </c>
      <c r="H2" s="30" t="str">
        <f t="shared" ref="H2:H20" si="4">D2&amp;"у"</f>
        <v>Афанасійовичу</v>
      </c>
      <c r="I2" s="30" t="str">
        <f t="shared" ref="I2:I20" si="5">F2&amp;" "&amp;G2&amp;" "&amp;H2</f>
        <v>Боровському Олегу Афанасійовичу</v>
      </c>
    </row>
    <row r="3" spans="1:9" ht="30" customHeight="1" x14ac:dyDescent="0.3">
      <c r="A3" s="1" t="str">
        <f>'База даних'!B4</f>
        <v>Чорний Олександр Миколайович</v>
      </c>
      <c r="B3" s="28" t="str">
        <f t="shared" si="2"/>
        <v>Чорний</v>
      </c>
      <c r="C3" s="28" t="str">
        <f t="shared" ref="C3:C20" si="6">TRIM(LEFT(TRIM(RIGHT(A3,LEN(A3)-LEN(B3))),FIND(" ",TRIM(RIGHT(A3,LEN(A3)-LEN(B3))),1)))</f>
        <v>Олександр</v>
      </c>
      <c r="D3" s="29" t="str">
        <f t="shared" ref="D3:D20" si="7">TRIM(RIGHT(A3,LEN(A3)-LEN(C3)-LEN(B3)-2))</f>
        <v>Миколайович</v>
      </c>
      <c r="E3" s="30" t="b">
        <f t="shared" si="3"/>
        <v>0</v>
      </c>
      <c r="F3" s="30" t="str">
        <f t="shared" si="0"/>
        <v>Чорному</v>
      </c>
      <c r="G3" s="30" t="str">
        <f t="shared" si="1"/>
        <v>Олександру</v>
      </c>
      <c r="H3" s="30" t="str">
        <f t="shared" si="4"/>
        <v>Миколайовичу</v>
      </c>
      <c r="I3" s="30" t="str">
        <f t="shared" si="5"/>
        <v>Чорному Олександру Миколайовичу</v>
      </c>
    </row>
    <row r="4" spans="1:9" ht="30" customHeight="1" x14ac:dyDescent="0.3">
      <c r="A4" s="1" t="str">
        <f>'База даних'!B5</f>
        <v>Кухтєй Віктор Володимирович</v>
      </c>
      <c r="B4" s="28" t="str">
        <f t="shared" si="2"/>
        <v>Кухтєй</v>
      </c>
      <c r="C4" s="28" t="str">
        <f t="shared" si="6"/>
        <v>Віктор</v>
      </c>
      <c r="D4" s="29" t="str">
        <f t="shared" si="7"/>
        <v>Володимирович</v>
      </c>
      <c r="E4" s="30" t="b">
        <f t="shared" si="3"/>
        <v>0</v>
      </c>
      <c r="F4" s="30" t="str">
        <f t="shared" si="0"/>
        <v>Кухтєйу</v>
      </c>
      <c r="G4" s="30" t="str">
        <f t="shared" si="1"/>
        <v>Віктору</v>
      </c>
      <c r="H4" s="30" t="str">
        <f t="shared" si="4"/>
        <v>Володимировичу</v>
      </c>
      <c r="I4" s="30" t="str">
        <f t="shared" si="5"/>
        <v>Кухтєйу Віктору Володимировичу</v>
      </c>
    </row>
    <row r="5" spans="1:9" ht="30" customHeight="1" x14ac:dyDescent="0.3">
      <c r="A5" s="1" t="str">
        <f>'База даних'!B6</f>
        <v>Стратан Віктор Миколайович</v>
      </c>
      <c r="B5" s="28" t="str">
        <f t="shared" si="2"/>
        <v>Стратан</v>
      </c>
      <c r="C5" s="28" t="str">
        <f t="shared" si="6"/>
        <v>Віктор</v>
      </c>
      <c r="D5" s="29" t="str">
        <f t="shared" si="7"/>
        <v>Миколайович</v>
      </c>
      <c r="E5" s="30" t="b">
        <f t="shared" si="3"/>
        <v>0</v>
      </c>
      <c r="F5" s="30" t="str">
        <f t="shared" si="0"/>
        <v>Стратану</v>
      </c>
      <c r="G5" s="30" t="str">
        <f t="shared" si="1"/>
        <v>Віктору</v>
      </c>
      <c r="H5" s="30" t="str">
        <f t="shared" si="4"/>
        <v>Миколайовичу</v>
      </c>
      <c r="I5" s="30" t="str">
        <f t="shared" si="5"/>
        <v>Стратану Віктору Миколайовичу</v>
      </c>
    </row>
    <row r="6" spans="1:9" ht="30" customHeight="1" x14ac:dyDescent="0.3">
      <c r="A6" s="1" t="str">
        <f>'База даних'!B7</f>
        <v>Клименко Андрій Миколайович</v>
      </c>
      <c r="B6" s="28" t="str">
        <f t="shared" si="2"/>
        <v>Клименко</v>
      </c>
      <c r="C6" s="28" t="str">
        <f t="shared" si="6"/>
        <v>Андрій</v>
      </c>
      <c r="D6" s="29" t="str">
        <f t="shared" si="7"/>
        <v>Миколайович</v>
      </c>
      <c r="E6" s="30" t="b">
        <f t="shared" si="3"/>
        <v>1</v>
      </c>
      <c r="F6" s="30" t="str">
        <f t="shared" si="0"/>
        <v>Клименко</v>
      </c>
      <c r="G6" s="30" t="str">
        <f t="shared" si="1"/>
        <v>Андрію</v>
      </c>
      <c r="H6" s="30" t="str">
        <f t="shared" si="4"/>
        <v>Миколайовичу</v>
      </c>
      <c r="I6" s="30" t="str">
        <f t="shared" si="5"/>
        <v>Клименко Андрію Миколайовичу</v>
      </c>
    </row>
    <row r="7" spans="1:9" ht="30" customHeight="1" x14ac:dyDescent="0.3">
      <c r="A7" s="1" t="str">
        <f>'База даних'!B8</f>
        <v>Гончаров Олексій Васильович</v>
      </c>
      <c r="B7" s="28" t="str">
        <f t="shared" si="2"/>
        <v>Гончаров</v>
      </c>
      <c r="C7" s="28" t="str">
        <f t="shared" si="6"/>
        <v>Олексій</v>
      </c>
      <c r="D7" s="29" t="str">
        <f t="shared" si="7"/>
        <v>Васильович</v>
      </c>
      <c r="E7" s="30" t="b">
        <f t="shared" si="3"/>
        <v>0</v>
      </c>
      <c r="F7" s="30" t="str">
        <f t="shared" si="0"/>
        <v>Гончарову</v>
      </c>
      <c r="G7" s="30" t="str">
        <f t="shared" si="1"/>
        <v>Олексію</v>
      </c>
      <c r="H7" s="30" t="str">
        <f t="shared" si="4"/>
        <v>Васильовичу</v>
      </c>
      <c r="I7" s="30" t="str">
        <f t="shared" si="5"/>
        <v>Гончарову Олексію Васильовичу</v>
      </c>
    </row>
    <row r="8" spans="1:9" ht="30" customHeight="1" x14ac:dyDescent="0.3">
      <c r="A8" s="1" t="str">
        <f>'База даних'!B9</f>
        <v>Кіров Сергій Володимирович</v>
      </c>
      <c r="B8" s="28" t="str">
        <f t="shared" si="2"/>
        <v>Кіров</v>
      </c>
      <c r="C8" s="28" t="str">
        <f t="shared" si="6"/>
        <v>Сергій</v>
      </c>
      <c r="D8" s="29" t="str">
        <f t="shared" si="7"/>
        <v>Володимирович</v>
      </c>
      <c r="E8" s="30" t="b">
        <f t="shared" si="3"/>
        <v>0</v>
      </c>
      <c r="F8" s="30" t="str">
        <f t="shared" si="0"/>
        <v>Кірову</v>
      </c>
      <c r="G8" s="30" t="str">
        <f t="shared" si="1"/>
        <v>Сергію</v>
      </c>
      <c r="H8" s="30" t="str">
        <f t="shared" si="4"/>
        <v>Володимировичу</v>
      </c>
      <c r="I8" s="30" t="str">
        <f t="shared" si="5"/>
        <v>Кірову Сергію Володимировичу</v>
      </c>
    </row>
    <row r="9" spans="1:9" ht="30" customHeight="1" x14ac:dyDescent="0.3">
      <c r="A9" s="1" t="str">
        <f>'База даних'!B10</f>
        <v>Кидриченко Сергій Анатолійович</v>
      </c>
      <c r="B9" s="28" t="str">
        <f t="shared" si="2"/>
        <v>Кидриченко</v>
      </c>
      <c r="C9" s="28" t="str">
        <f t="shared" si="6"/>
        <v>Сергій</v>
      </c>
      <c r="D9" s="29" t="str">
        <f t="shared" si="7"/>
        <v>Анатолійович</v>
      </c>
      <c r="E9" s="30" t="b">
        <f t="shared" si="3"/>
        <v>1</v>
      </c>
      <c r="F9" s="30" t="str">
        <f t="shared" si="0"/>
        <v>Кидриченко</v>
      </c>
      <c r="G9" s="30" t="str">
        <f t="shared" si="1"/>
        <v>Сергію</v>
      </c>
      <c r="H9" s="30" t="str">
        <f t="shared" si="4"/>
        <v>Анатолійовичу</v>
      </c>
      <c r="I9" s="30" t="str">
        <f t="shared" si="5"/>
        <v>Кидриченко Сергію Анатолійовичу</v>
      </c>
    </row>
    <row r="10" spans="1:9" ht="30" customHeight="1" x14ac:dyDescent="0.3">
      <c r="A10" s="1" t="str">
        <f>'База даних'!B11</f>
        <v>Колесниченко Сергій Володимирович</v>
      </c>
      <c r="B10" s="28" t="str">
        <f t="shared" si="2"/>
        <v>Колесниченко</v>
      </c>
      <c r="C10" s="28" t="str">
        <f t="shared" si="6"/>
        <v>Сергій</v>
      </c>
      <c r="D10" s="29" t="str">
        <f t="shared" si="7"/>
        <v>Володимирович</v>
      </c>
      <c r="E10" s="30" t="b">
        <f t="shared" si="3"/>
        <v>1</v>
      </c>
      <c r="F10" s="30" t="str">
        <f t="shared" si="0"/>
        <v>Колесниченко</v>
      </c>
      <c r="G10" s="30" t="str">
        <f t="shared" si="1"/>
        <v>Сергію</v>
      </c>
      <c r="H10" s="30" t="str">
        <f t="shared" si="4"/>
        <v>Володимировичу</v>
      </c>
      <c r="I10" s="30" t="str">
        <f t="shared" si="5"/>
        <v>Колесниченко Сергію Володимировичу</v>
      </c>
    </row>
    <row r="11" spans="1:9" ht="30" customHeight="1" x14ac:dyDescent="0.3">
      <c r="A11" s="1" t="str">
        <f>'База даних'!B12</f>
        <v>Куява Павло Адамович</v>
      </c>
      <c r="B11" s="28" t="str">
        <f t="shared" si="2"/>
        <v>Куява</v>
      </c>
      <c r="C11" s="28" t="str">
        <f t="shared" si="6"/>
        <v>Павло</v>
      </c>
      <c r="D11" s="29" t="str">
        <f t="shared" si="7"/>
        <v>Адамович</v>
      </c>
      <c r="E11" s="30" t="b">
        <f t="shared" si="3"/>
        <v>0</v>
      </c>
      <c r="F11" s="30" t="str">
        <f t="shared" si="0"/>
        <v>Куяві</v>
      </c>
      <c r="G11" s="30" t="str">
        <f t="shared" si="1"/>
        <v>Павлу</v>
      </c>
      <c r="H11" s="30" t="str">
        <f t="shared" si="4"/>
        <v>Адамовичу</v>
      </c>
      <c r="I11" s="30" t="str">
        <f t="shared" si="5"/>
        <v>Куяві Павлу Адамовичу</v>
      </c>
    </row>
    <row r="12" spans="1:9" ht="30" customHeight="1" x14ac:dyDescent="0.3">
      <c r="A12" s="1" t="str">
        <f>'База даних'!B13</f>
        <v>Комар Микола Анатолійович</v>
      </c>
      <c r="B12" s="28" t="str">
        <f t="shared" si="2"/>
        <v>Комар</v>
      </c>
      <c r="C12" s="28" t="str">
        <f t="shared" si="6"/>
        <v>Микола</v>
      </c>
      <c r="D12" s="29" t="str">
        <f t="shared" si="7"/>
        <v>Анатолійович</v>
      </c>
      <c r="E12" s="30" t="b">
        <f t="shared" si="3"/>
        <v>0</v>
      </c>
      <c r="F12" s="30" t="str">
        <f t="shared" si="0"/>
        <v>Комару</v>
      </c>
      <c r="G12" s="30" t="str">
        <f t="shared" si="1"/>
        <v>Миколі</v>
      </c>
      <c r="H12" s="30" t="str">
        <f t="shared" si="4"/>
        <v>Анатолійовичу</v>
      </c>
      <c r="I12" s="30" t="str">
        <f t="shared" si="5"/>
        <v>Комару Миколі Анатолійовичу</v>
      </c>
    </row>
    <row r="13" spans="1:9" ht="30" customHeight="1" x14ac:dyDescent="0.3">
      <c r="A13" s="1" t="str">
        <f>'База даних'!B14</f>
        <v>Дідичук Віталій Юрійович</v>
      </c>
      <c r="B13" s="28" t="str">
        <f t="shared" si="2"/>
        <v>Дідичук</v>
      </c>
      <c r="C13" s="28" t="str">
        <f t="shared" si="6"/>
        <v>Віталій</v>
      </c>
      <c r="D13" s="29" t="str">
        <f t="shared" si="7"/>
        <v>Юрійович</v>
      </c>
      <c r="E13" s="30" t="b">
        <f t="shared" si="3"/>
        <v>0</v>
      </c>
      <c r="F13" s="30" t="str">
        <f t="shared" si="0"/>
        <v>Дідичуку</v>
      </c>
      <c r="G13" s="30" t="str">
        <f t="shared" si="1"/>
        <v>Віталію</v>
      </c>
      <c r="H13" s="30" t="str">
        <f t="shared" si="4"/>
        <v>Юрійовичу</v>
      </c>
      <c r="I13" s="30" t="str">
        <f t="shared" si="5"/>
        <v>Дідичуку Віталію Юрійовичу</v>
      </c>
    </row>
    <row r="14" spans="1:9" ht="30" customHeight="1" x14ac:dyDescent="0.3">
      <c r="A14" s="1" t="str">
        <f>'База даних'!B15</f>
        <v>Небайкін Олег Володимирович</v>
      </c>
      <c r="B14" s="28" t="str">
        <f t="shared" si="2"/>
        <v>Небайкін</v>
      </c>
      <c r="C14" s="28" t="str">
        <f t="shared" si="6"/>
        <v>Олег</v>
      </c>
      <c r="D14" s="29" t="str">
        <f t="shared" si="7"/>
        <v>Володимирович</v>
      </c>
      <c r="E14" s="30" t="b">
        <f t="shared" si="3"/>
        <v>0</v>
      </c>
      <c r="F14" s="30" t="str">
        <f t="shared" si="0"/>
        <v>Небайкіну</v>
      </c>
      <c r="G14" s="30" t="str">
        <f t="shared" si="1"/>
        <v>Олегу</v>
      </c>
      <c r="H14" s="30" t="str">
        <f t="shared" si="4"/>
        <v>Володимировичу</v>
      </c>
      <c r="I14" s="30" t="str">
        <f t="shared" si="5"/>
        <v>Небайкіну Олегу Володимировичу</v>
      </c>
    </row>
    <row r="15" spans="1:9" ht="30" customHeight="1" x14ac:dyDescent="0.3">
      <c r="A15" s="1" t="str">
        <f>'База даних'!B16</f>
        <v>Йовченко Анатолій Михайлович</v>
      </c>
      <c r="B15" s="28" t="str">
        <f t="shared" si="2"/>
        <v>Йовченко</v>
      </c>
      <c r="C15" s="28" t="str">
        <f t="shared" si="6"/>
        <v>Анатолій</v>
      </c>
      <c r="D15" s="29" t="str">
        <f t="shared" si="7"/>
        <v>Михайлович</v>
      </c>
      <c r="E15" s="30" t="b">
        <f t="shared" si="3"/>
        <v>1</v>
      </c>
      <c r="F15" s="30" t="str">
        <f t="shared" si="0"/>
        <v>Йовченко</v>
      </c>
      <c r="G15" s="30" t="str">
        <f t="shared" si="1"/>
        <v>Анатолію</v>
      </c>
      <c r="H15" s="30" t="str">
        <f t="shared" si="4"/>
        <v>Михайловичу</v>
      </c>
      <c r="I15" s="30" t="str">
        <f t="shared" si="5"/>
        <v>Йовченко Анатолію Михайловичу</v>
      </c>
    </row>
    <row r="16" spans="1:9" ht="30" customHeight="1" x14ac:dyDescent="0.3">
      <c r="A16" s="1" t="str">
        <f>'База даних'!B17</f>
        <v>Деде Анатолій Дмитрович</v>
      </c>
      <c r="B16" s="28" t="str">
        <f t="shared" si="2"/>
        <v>Деде</v>
      </c>
      <c r="C16" s="28" t="str">
        <f t="shared" si="6"/>
        <v>Анатолій</v>
      </c>
      <c r="D16" s="29" t="str">
        <f t="shared" si="7"/>
        <v>Дмитрович</v>
      </c>
      <c r="E16" s="30" t="b">
        <f t="shared" si="3"/>
        <v>1</v>
      </c>
      <c r="F16" s="30" t="str">
        <f>IF(E16=TRUE,B16,IF(AND(RIGHT(B16,2)="ва",RIGHT(B16,1)="а"),LEFT(B16,LEN(B16)-1)&amp;"і",IF(RIGHT(B16,2)="ий",LEFT(B16,LEN(B16)-2)&amp;"ому",IF(RIGHT(B16,1)="а",LEFT(B16,LEN(B16)-1)&amp;"ові",B16&amp;"у"))))</f>
        <v>Деде</v>
      </c>
      <c r="G16" s="30" t="str">
        <f>IF(RIGHT(C16,2)="ій",LEFT(C16,LEN(C16)-1)&amp;"ю",IF(RIGHT(C16,1)="а",LEFT(C16,LEN(C16)-1)&amp;"і",IF(RIGHT(C16,1)="о",LEFT(C16,LEN(C16)-1)&amp;"у",LEFT(C16,LEN(C16))&amp;"у")))</f>
        <v>Анатолію</v>
      </c>
      <c r="H16" s="30" t="str">
        <f t="shared" si="4"/>
        <v>Дмитровичу</v>
      </c>
      <c r="I16" s="30" t="str">
        <f t="shared" si="5"/>
        <v>Деде Анатолію Дмитровичу</v>
      </c>
    </row>
    <row r="17" spans="1:9" ht="30" customHeight="1" x14ac:dyDescent="0.3">
      <c r="A17" s="1" t="str">
        <f>'База даних'!B18</f>
        <v>Дворнік Анатолій Олександрович</v>
      </c>
      <c r="B17" s="28" t="str">
        <f t="shared" si="2"/>
        <v>Дворнік</v>
      </c>
      <c r="C17" s="28" t="str">
        <f t="shared" si="6"/>
        <v>Анатолій</v>
      </c>
      <c r="D17" s="29" t="str">
        <f t="shared" si="7"/>
        <v>Олександрович</v>
      </c>
      <c r="E17" s="30" t="b">
        <f t="shared" si="3"/>
        <v>0</v>
      </c>
      <c r="F17" s="30" t="str">
        <f t="shared" ref="F17:F20" si="8">IF(E17=TRUE,B17,IF(AND(RIGHT(B17,2)="ва",RIGHT(B17,1)="а"),LEFT(B17,LEN(B17)-1)&amp;"і",IF(RIGHT(B17,2)="ий",LEFT(B17,LEN(B17)-2)&amp;"ому",IF(RIGHT(B17,1)="а",LEFT(B17,LEN(B17)-1)&amp;"ові",B17&amp;"у"))))</f>
        <v>Дворніку</v>
      </c>
      <c r="G17" s="30" t="str">
        <f t="shared" ref="G17:G20" si="9">IF(RIGHT(C17,2)="ій",LEFT(C17,LEN(C17)-1)&amp;"ю",IF(RIGHT(C17,1)="а",LEFT(C17,LEN(C17)-1)&amp;"і",IF(RIGHT(C17,1)="о",LEFT(C17,LEN(C17)-1)&amp;"у",LEFT(C17,LEN(C17))&amp;"у")))</f>
        <v>Анатолію</v>
      </c>
      <c r="H17" s="30" t="str">
        <f t="shared" si="4"/>
        <v>Олександровичу</v>
      </c>
      <c r="I17" s="30" t="str">
        <f t="shared" si="5"/>
        <v>Дворніку Анатолію Олександровичу</v>
      </c>
    </row>
    <row r="18" spans="1:9" ht="30" customHeight="1" x14ac:dyDescent="0.3">
      <c r="A18" s="1" t="str">
        <f>'База даних'!B19</f>
        <v>Іджилов Віктор Іванович</v>
      </c>
      <c r="B18" s="28" t="str">
        <f t="shared" si="2"/>
        <v>Іджилов</v>
      </c>
      <c r="C18" s="28" t="str">
        <f t="shared" si="6"/>
        <v>Віктор</v>
      </c>
      <c r="D18" s="29" t="str">
        <f t="shared" si="7"/>
        <v>Іванович</v>
      </c>
      <c r="E18" s="30" t="b">
        <f t="shared" si="3"/>
        <v>0</v>
      </c>
      <c r="F18" s="30" t="str">
        <f t="shared" si="8"/>
        <v>Іджилову</v>
      </c>
      <c r="G18" s="30" t="str">
        <f t="shared" si="9"/>
        <v>Віктору</v>
      </c>
      <c r="H18" s="30" t="str">
        <f t="shared" si="4"/>
        <v>Івановичу</v>
      </c>
      <c r="I18" s="30" t="str">
        <f t="shared" si="5"/>
        <v>Іджилову Віктору Івановичу</v>
      </c>
    </row>
    <row r="19" spans="1:9" ht="30" customHeight="1" x14ac:dyDescent="0.3">
      <c r="A19" s="1" t="str">
        <f>'База даних'!B20</f>
        <v>Савельєв Сергій Борисович</v>
      </c>
      <c r="B19" s="28" t="str">
        <f t="shared" si="2"/>
        <v>Савельєв</v>
      </c>
      <c r="C19" s="28" t="str">
        <f t="shared" si="6"/>
        <v>Сергій</v>
      </c>
      <c r="D19" s="29" t="str">
        <f t="shared" si="7"/>
        <v>Борисович</v>
      </c>
      <c r="E19" s="30" t="b">
        <f t="shared" si="3"/>
        <v>0</v>
      </c>
      <c r="F19" s="30" t="str">
        <f t="shared" si="8"/>
        <v>Савельєву</v>
      </c>
      <c r="G19" s="30" t="str">
        <f t="shared" si="9"/>
        <v>Сергію</v>
      </c>
      <c r="H19" s="30" t="str">
        <f t="shared" si="4"/>
        <v>Борисовичу</v>
      </c>
      <c r="I19" s="30" t="str">
        <f t="shared" si="5"/>
        <v>Савельєву Сергію Борисовичу</v>
      </c>
    </row>
    <row r="20" spans="1:9" ht="30" customHeight="1" x14ac:dyDescent="0.3">
      <c r="A20" s="1" t="str">
        <f>'База даних'!B21</f>
        <v>Ганув Володимир Андрійович</v>
      </c>
      <c r="B20" s="28" t="str">
        <f t="shared" si="2"/>
        <v>Ганув</v>
      </c>
      <c r="C20" s="28" t="str">
        <f t="shared" si="6"/>
        <v>Володимир</v>
      </c>
      <c r="D20" s="29" t="str">
        <f t="shared" si="7"/>
        <v>Андрійович</v>
      </c>
      <c r="E20" s="30" t="b">
        <f t="shared" si="3"/>
        <v>0</v>
      </c>
      <c r="F20" s="30" t="str">
        <f t="shared" si="8"/>
        <v>Гануву</v>
      </c>
      <c r="G20" s="30" t="str">
        <f t="shared" si="9"/>
        <v>Володимиру</v>
      </c>
      <c r="H20" s="30" t="str">
        <f t="shared" si="4"/>
        <v>Андрійовичу</v>
      </c>
      <c r="I20" s="30" t="str">
        <f t="shared" si="5"/>
        <v>Гануву Володимиру Андрійовичу</v>
      </c>
    </row>
    <row r="21" spans="1:9" ht="30" customHeight="1" x14ac:dyDescent="0.3">
      <c r="A21" s="1" t="str">
        <f>'База даних'!B22</f>
        <v>Присуха Сергій Анатолійович</v>
      </c>
      <c r="B21" s="28" t="str">
        <f t="shared" ref="B21:B84" si="10">TRIM(LEFT(A21,FIND(" ",A21,1)))</f>
        <v>Присуха</v>
      </c>
      <c r="C21" s="28" t="str">
        <f t="shared" ref="C21:C84" si="11">TRIM(LEFT(TRIM(RIGHT(A21,LEN(A21)-LEN(B21))),FIND(" ",TRIM(RIGHT(A21,LEN(A21)-LEN(B21))),1)))</f>
        <v>Сергій</v>
      </c>
      <c r="D21" s="29" t="str">
        <f t="shared" ref="D21:D84" si="12">TRIM(RIGHT(A21,LEN(A21)-LEN(C21)-LEN(B21)-2))</f>
        <v>Анатолійович</v>
      </c>
      <c r="E21" s="30" t="b">
        <f t="shared" ref="E21:E84" si="13">OR(RIGHT(B21,1)="о",RIGHT(B21,1)="у",RIGHT(B21,1)="и",RIGHT(B21,1)="і",RIGHT(B21,1)="е")</f>
        <v>0</v>
      </c>
      <c r="F21" s="30" t="str">
        <f t="shared" ref="F21:F84" si="14">IF(E21=TRUE,B21,IF(AND(RIGHT(B21,2)="ва",RIGHT(B21,1)="а"),LEFT(B21,LEN(B21)-1)&amp;"і",IF(RIGHT(B21,2)="ий",LEFT(B21,LEN(B21)-2)&amp;"ому",IF(RIGHT(B21,1)="а",LEFT(B21,LEN(B21)-1)&amp;"ові",B21&amp;"у"))))</f>
        <v>Присухові</v>
      </c>
      <c r="G21" s="30" t="str">
        <f t="shared" ref="G21:G84" si="15">IF(RIGHT(C21,2)="ій",LEFT(C21,LEN(C21)-1)&amp;"ю",IF(RIGHT(C21,1)="а",LEFT(C21,LEN(C21)-1)&amp;"і",IF(RIGHT(C21,1)="о",LEFT(C21,LEN(C21)-1)&amp;"у",LEFT(C21,LEN(C21))&amp;"у")))</f>
        <v>Сергію</v>
      </c>
      <c r="H21" s="30" t="str">
        <f t="shared" ref="H21:H84" si="16">D21&amp;"у"</f>
        <v>Анатолійовичу</v>
      </c>
      <c r="I21" s="30" t="str">
        <f t="shared" ref="I21:I84" si="17">F21&amp;" "&amp;G21&amp;" "&amp;H21</f>
        <v>Присухові Сергію Анатолійовичу</v>
      </c>
    </row>
    <row r="22" spans="1:9" ht="30" customHeight="1" x14ac:dyDescent="0.3">
      <c r="A22" s="1" t="str">
        <f>'База даних'!B23</f>
        <v>Бечкало Андрій Петрович</v>
      </c>
      <c r="B22" s="28" t="str">
        <f t="shared" si="10"/>
        <v>Бечкало</v>
      </c>
      <c r="C22" s="28" t="str">
        <f t="shared" si="11"/>
        <v>Андрій</v>
      </c>
      <c r="D22" s="29" t="str">
        <f t="shared" si="12"/>
        <v>Петрович</v>
      </c>
      <c r="E22" s="30" t="b">
        <f t="shared" si="13"/>
        <v>1</v>
      </c>
      <c r="F22" s="30" t="str">
        <f t="shared" si="14"/>
        <v>Бечкало</v>
      </c>
      <c r="G22" s="30" t="str">
        <f t="shared" si="15"/>
        <v>Андрію</v>
      </c>
      <c r="H22" s="30" t="str">
        <f t="shared" si="16"/>
        <v>Петровичу</v>
      </c>
      <c r="I22" s="30" t="str">
        <f t="shared" si="17"/>
        <v>Бечкало Андрію Петровичу</v>
      </c>
    </row>
    <row r="23" spans="1:9" ht="30" customHeight="1" x14ac:dyDescent="0.3">
      <c r="A23" s="1" t="str">
        <f>'База даних'!B24</f>
        <v>Мєржан Віталій Федорович</v>
      </c>
      <c r="B23" s="28" t="str">
        <f t="shared" si="10"/>
        <v>Мєржан</v>
      </c>
      <c r="C23" s="28" t="str">
        <f t="shared" si="11"/>
        <v>Віталій</v>
      </c>
      <c r="D23" s="29" t="str">
        <f t="shared" si="12"/>
        <v>Федорович</v>
      </c>
      <c r="E23" s="30" t="b">
        <f t="shared" si="13"/>
        <v>0</v>
      </c>
      <c r="F23" s="30" t="str">
        <f t="shared" si="14"/>
        <v>Мєржану</v>
      </c>
      <c r="G23" s="30" t="str">
        <f t="shared" si="15"/>
        <v>Віталію</v>
      </c>
      <c r="H23" s="30" t="str">
        <f t="shared" si="16"/>
        <v>Федоровичу</v>
      </c>
      <c r="I23" s="30" t="str">
        <f t="shared" si="17"/>
        <v>Мєржану Віталію Федоровичу</v>
      </c>
    </row>
    <row r="24" spans="1:9" ht="30" customHeight="1" x14ac:dyDescent="0.3">
      <c r="A24" s="1" t="str">
        <f>'База даних'!B25</f>
        <v>Івахів Роман Григорович</v>
      </c>
      <c r="B24" s="28" t="str">
        <f t="shared" si="10"/>
        <v>Івахів</v>
      </c>
      <c r="C24" s="28" t="str">
        <f t="shared" si="11"/>
        <v>Роман</v>
      </c>
      <c r="D24" s="29" t="str">
        <f t="shared" si="12"/>
        <v>Григорович</v>
      </c>
      <c r="E24" s="30" t="b">
        <f t="shared" si="13"/>
        <v>0</v>
      </c>
      <c r="F24" s="30" t="str">
        <f t="shared" si="14"/>
        <v>Івахіву</v>
      </c>
      <c r="G24" s="30" t="str">
        <f t="shared" si="15"/>
        <v>Роману</v>
      </c>
      <c r="H24" s="30" t="str">
        <f t="shared" si="16"/>
        <v>Григоровичу</v>
      </c>
      <c r="I24" s="30" t="str">
        <f t="shared" si="17"/>
        <v>Івахіву Роману Григоровичу</v>
      </c>
    </row>
    <row r="25" spans="1:9" ht="30" customHeight="1" x14ac:dyDescent="0.3">
      <c r="A25" s="1">
        <f>'База даних'!B27</f>
        <v>0</v>
      </c>
      <c r="B25" s="28" t="e">
        <f t="shared" si="10"/>
        <v>#VALUE!</v>
      </c>
      <c r="C25" s="28" t="e">
        <f t="shared" si="11"/>
        <v>#VALUE!</v>
      </c>
      <c r="D25" s="29" t="e">
        <f t="shared" si="12"/>
        <v>#VALUE!</v>
      </c>
      <c r="E25" s="30" t="e">
        <f t="shared" si="13"/>
        <v>#VALUE!</v>
      </c>
      <c r="F25" s="30" t="e">
        <f t="shared" si="14"/>
        <v>#VALUE!</v>
      </c>
      <c r="G25" s="30" t="e">
        <f t="shared" si="15"/>
        <v>#VALUE!</v>
      </c>
      <c r="H25" s="30" t="e">
        <f t="shared" si="16"/>
        <v>#VALUE!</v>
      </c>
      <c r="I25" s="30" t="e">
        <f t="shared" si="17"/>
        <v>#VALUE!</v>
      </c>
    </row>
    <row r="26" spans="1:9" ht="30" customHeight="1" x14ac:dyDescent="0.3">
      <c r="A26" s="1">
        <f>'База даних'!B28</f>
        <v>0</v>
      </c>
      <c r="B26" s="28" t="e">
        <f t="shared" si="10"/>
        <v>#VALUE!</v>
      </c>
      <c r="C26" s="28" t="e">
        <f t="shared" si="11"/>
        <v>#VALUE!</v>
      </c>
      <c r="D26" s="29" t="e">
        <f t="shared" si="12"/>
        <v>#VALUE!</v>
      </c>
      <c r="E26" s="30" t="e">
        <f t="shared" si="13"/>
        <v>#VALUE!</v>
      </c>
      <c r="F26" s="30" t="e">
        <f t="shared" si="14"/>
        <v>#VALUE!</v>
      </c>
      <c r="G26" s="30" t="e">
        <f t="shared" si="15"/>
        <v>#VALUE!</v>
      </c>
      <c r="H26" s="30" t="e">
        <f t="shared" si="16"/>
        <v>#VALUE!</v>
      </c>
      <c r="I26" s="30" t="e">
        <f t="shared" si="17"/>
        <v>#VALUE!</v>
      </c>
    </row>
    <row r="27" spans="1:9" ht="30" customHeight="1" x14ac:dyDescent="0.3">
      <c r="A27" s="1">
        <f>'База даних'!B29</f>
        <v>0</v>
      </c>
      <c r="B27" s="28" t="e">
        <f t="shared" si="10"/>
        <v>#VALUE!</v>
      </c>
      <c r="C27" s="28" t="e">
        <f t="shared" si="11"/>
        <v>#VALUE!</v>
      </c>
      <c r="D27" s="29" t="e">
        <f t="shared" si="12"/>
        <v>#VALUE!</v>
      </c>
      <c r="E27" s="30" t="e">
        <f t="shared" si="13"/>
        <v>#VALUE!</v>
      </c>
      <c r="F27" s="30" t="e">
        <f t="shared" si="14"/>
        <v>#VALUE!</v>
      </c>
      <c r="G27" s="30" t="e">
        <f t="shared" si="15"/>
        <v>#VALUE!</v>
      </c>
      <c r="H27" s="30" t="e">
        <f t="shared" si="16"/>
        <v>#VALUE!</v>
      </c>
      <c r="I27" s="30" t="e">
        <f t="shared" si="17"/>
        <v>#VALUE!</v>
      </c>
    </row>
    <row r="28" spans="1:9" ht="30" customHeight="1" x14ac:dyDescent="0.3">
      <c r="A28" s="1">
        <f>'База даних'!B30</f>
        <v>0</v>
      </c>
      <c r="B28" s="28" t="e">
        <f t="shared" si="10"/>
        <v>#VALUE!</v>
      </c>
      <c r="C28" s="28" t="e">
        <f t="shared" si="11"/>
        <v>#VALUE!</v>
      </c>
      <c r="D28" s="29" t="e">
        <f t="shared" si="12"/>
        <v>#VALUE!</v>
      </c>
      <c r="E28" s="30" t="e">
        <f t="shared" si="13"/>
        <v>#VALUE!</v>
      </c>
      <c r="F28" s="30" t="e">
        <f t="shared" si="14"/>
        <v>#VALUE!</v>
      </c>
      <c r="G28" s="30" t="e">
        <f t="shared" si="15"/>
        <v>#VALUE!</v>
      </c>
      <c r="H28" s="30" t="e">
        <f t="shared" si="16"/>
        <v>#VALUE!</v>
      </c>
      <c r="I28" s="30" t="e">
        <f t="shared" si="17"/>
        <v>#VALUE!</v>
      </c>
    </row>
    <row r="29" spans="1:9" ht="30" customHeight="1" x14ac:dyDescent="0.3">
      <c r="A29" s="1">
        <f>'База даних'!B31</f>
        <v>0</v>
      </c>
      <c r="B29" s="28" t="e">
        <f t="shared" si="10"/>
        <v>#VALUE!</v>
      </c>
      <c r="C29" s="28" t="e">
        <f t="shared" si="11"/>
        <v>#VALUE!</v>
      </c>
      <c r="D29" s="29" t="e">
        <f t="shared" si="12"/>
        <v>#VALUE!</v>
      </c>
      <c r="E29" s="30" t="e">
        <f t="shared" si="13"/>
        <v>#VALUE!</v>
      </c>
      <c r="F29" s="30" t="e">
        <f t="shared" si="14"/>
        <v>#VALUE!</v>
      </c>
      <c r="G29" s="30" t="e">
        <f t="shared" si="15"/>
        <v>#VALUE!</v>
      </c>
      <c r="H29" s="30" t="e">
        <f t="shared" si="16"/>
        <v>#VALUE!</v>
      </c>
      <c r="I29" s="30" t="e">
        <f t="shared" si="17"/>
        <v>#VALUE!</v>
      </c>
    </row>
    <row r="30" spans="1:9" ht="30" customHeight="1" x14ac:dyDescent="0.3">
      <c r="A30" s="1">
        <f>'База даних'!B32</f>
        <v>0</v>
      </c>
      <c r="B30" s="28" t="e">
        <f t="shared" si="10"/>
        <v>#VALUE!</v>
      </c>
      <c r="C30" s="28" t="e">
        <f t="shared" si="11"/>
        <v>#VALUE!</v>
      </c>
      <c r="D30" s="29" t="e">
        <f t="shared" si="12"/>
        <v>#VALUE!</v>
      </c>
      <c r="E30" s="30" t="e">
        <f t="shared" si="13"/>
        <v>#VALUE!</v>
      </c>
      <c r="F30" s="30" t="e">
        <f t="shared" si="14"/>
        <v>#VALUE!</v>
      </c>
      <c r="G30" s="30" t="e">
        <f t="shared" si="15"/>
        <v>#VALUE!</v>
      </c>
      <c r="H30" s="30" t="e">
        <f t="shared" si="16"/>
        <v>#VALUE!</v>
      </c>
      <c r="I30" s="30" t="e">
        <f t="shared" si="17"/>
        <v>#VALUE!</v>
      </c>
    </row>
    <row r="31" spans="1:9" ht="30" customHeight="1" x14ac:dyDescent="0.3">
      <c r="A31" s="1">
        <f>'База даних'!B33</f>
        <v>0</v>
      </c>
      <c r="B31" s="28" t="e">
        <f t="shared" si="10"/>
        <v>#VALUE!</v>
      </c>
      <c r="C31" s="28" t="e">
        <f t="shared" si="11"/>
        <v>#VALUE!</v>
      </c>
      <c r="D31" s="29" t="e">
        <f t="shared" si="12"/>
        <v>#VALUE!</v>
      </c>
      <c r="E31" s="30" t="e">
        <f t="shared" si="13"/>
        <v>#VALUE!</v>
      </c>
      <c r="F31" s="30" t="e">
        <f t="shared" si="14"/>
        <v>#VALUE!</v>
      </c>
      <c r="G31" s="30" t="e">
        <f t="shared" si="15"/>
        <v>#VALUE!</v>
      </c>
      <c r="H31" s="30" t="e">
        <f t="shared" si="16"/>
        <v>#VALUE!</v>
      </c>
      <c r="I31" s="30" t="e">
        <f t="shared" si="17"/>
        <v>#VALUE!</v>
      </c>
    </row>
    <row r="32" spans="1:9" ht="30" customHeight="1" x14ac:dyDescent="0.3">
      <c r="A32" s="1">
        <f>'База даних'!B34</f>
        <v>0</v>
      </c>
      <c r="B32" s="28" t="e">
        <f t="shared" si="10"/>
        <v>#VALUE!</v>
      </c>
      <c r="C32" s="28" t="e">
        <f t="shared" si="11"/>
        <v>#VALUE!</v>
      </c>
      <c r="D32" s="29" t="e">
        <f t="shared" si="12"/>
        <v>#VALUE!</v>
      </c>
      <c r="E32" s="30" t="e">
        <f t="shared" si="13"/>
        <v>#VALUE!</v>
      </c>
      <c r="F32" s="30" t="e">
        <f t="shared" si="14"/>
        <v>#VALUE!</v>
      </c>
      <c r="G32" s="30" t="e">
        <f t="shared" si="15"/>
        <v>#VALUE!</v>
      </c>
      <c r="H32" s="30" t="e">
        <f t="shared" si="16"/>
        <v>#VALUE!</v>
      </c>
      <c r="I32" s="30" t="e">
        <f t="shared" si="17"/>
        <v>#VALUE!</v>
      </c>
    </row>
    <row r="33" spans="1:9" ht="30" customHeight="1" x14ac:dyDescent="0.3">
      <c r="A33" s="1">
        <f>'База даних'!B35</f>
        <v>0</v>
      </c>
      <c r="B33" s="28" t="e">
        <f t="shared" si="10"/>
        <v>#VALUE!</v>
      </c>
      <c r="C33" s="28" t="e">
        <f t="shared" si="11"/>
        <v>#VALUE!</v>
      </c>
      <c r="D33" s="29" t="e">
        <f t="shared" si="12"/>
        <v>#VALUE!</v>
      </c>
      <c r="E33" s="30" t="e">
        <f t="shared" si="13"/>
        <v>#VALUE!</v>
      </c>
      <c r="F33" s="30" t="e">
        <f t="shared" si="14"/>
        <v>#VALUE!</v>
      </c>
      <c r="G33" s="30" t="e">
        <f t="shared" si="15"/>
        <v>#VALUE!</v>
      </c>
      <c r="H33" s="30" t="e">
        <f t="shared" si="16"/>
        <v>#VALUE!</v>
      </c>
      <c r="I33" s="30" t="e">
        <f t="shared" si="17"/>
        <v>#VALUE!</v>
      </c>
    </row>
    <row r="34" spans="1:9" ht="30" customHeight="1" x14ac:dyDescent="0.3">
      <c r="A34" s="1">
        <f>'База даних'!B36</f>
        <v>0</v>
      </c>
      <c r="B34" s="28" t="e">
        <f t="shared" si="10"/>
        <v>#VALUE!</v>
      </c>
      <c r="C34" s="28" t="e">
        <f t="shared" si="11"/>
        <v>#VALUE!</v>
      </c>
      <c r="D34" s="29" t="e">
        <f t="shared" si="12"/>
        <v>#VALUE!</v>
      </c>
      <c r="E34" s="30" t="e">
        <f t="shared" si="13"/>
        <v>#VALUE!</v>
      </c>
      <c r="F34" s="30" t="e">
        <f t="shared" si="14"/>
        <v>#VALUE!</v>
      </c>
      <c r="G34" s="30" t="e">
        <f t="shared" si="15"/>
        <v>#VALUE!</v>
      </c>
      <c r="H34" s="30" t="e">
        <f t="shared" si="16"/>
        <v>#VALUE!</v>
      </c>
      <c r="I34" s="30" t="e">
        <f t="shared" si="17"/>
        <v>#VALUE!</v>
      </c>
    </row>
    <row r="35" spans="1:9" ht="30" customHeight="1" x14ac:dyDescent="0.3">
      <c r="A35" s="1">
        <f>'База даних'!B37</f>
        <v>0</v>
      </c>
      <c r="B35" s="28" t="e">
        <f t="shared" si="10"/>
        <v>#VALUE!</v>
      </c>
      <c r="C35" s="28" t="e">
        <f t="shared" si="11"/>
        <v>#VALUE!</v>
      </c>
      <c r="D35" s="29" t="e">
        <f t="shared" si="12"/>
        <v>#VALUE!</v>
      </c>
      <c r="E35" s="30" t="e">
        <f t="shared" si="13"/>
        <v>#VALUE!</v>
      </c>
      <c r="F35" s="30" t="e">
        <f t="shared" si="14"/>
        <v>#VALUE!</v>
      </c>
      <c r="G35" s="30" t="e">
        <f t="shared" si="15"/>
        <v>#VALUE!</v>
      </c>
      <c r="H35" s="30" t="e">
        <f t="shared" si="16"/>
        <v>#VALUE!</v>
      </c>
      <c r="I35" s="30" t="e">
        <f t="shared" si="17"/>
        <v>#VALUE!</v>
      </c>
    </row>
    <row r="36" spans="1:9" ht="30" customHeight="1" x14ac:dyDescent="0.3">
      <c r="A36" s="1">
        <f>'База даних'!B38</f>
        <v>0</v>
      </c>
      <c r="B36" s="28" t="e">
        <f t="shared" si="10"/>
        <v>#VALUE!</v>
      </c>
      <c r="C36" s="28" t="e">
        <f t="shared" si="11"/>
        <v>#VALUE!</v>
      </c>
      <c r="D36" s="29" t="e">
        <f t="shared" si="12"/>
        <v>#VALUE!</v>
      </c>
      <c r="E36" s="30" t="e">
        <f t="shared" si="13"/>
        <v>#VALUE!</v>
      </c>
      <c r="F36" s="30" t="e">
        <f t="shared" si="14"/>
        <v>#VALUE!</v>
      </c>
      <c r="G36" s="30" t="e">
        <f t="shared" si="15"/>
        <v>#VALUE!</v>
      </c>
      <c r="H36" s="30" t="e">
        <f t="shared" si="16"/>
        <v>#VALUE!</v>
      </c>
      <c r="I36" s="30" t="e">
        <f t="shared" si="17"/>
        <v>#VALUE!</v>
      </c>
    </row>
    <row r="37" spans="1:9" ht="30" customHeight="1" x14ac:dyDescent="0.3">
      <c r="A37" s="1">
        <f>'База даних'!B39</f>
        <v>0</v>
      </c>
      <c r="B37" s="28" t="e">
        <f t="shared" si="10"/>
        <v>#VALUE!</v>
      </c>
      <c r="C37" s="28" t="e">
        <f t="shared" si="11"/>
        <v>#VALUE!</v>
      </c>
      <c r="D37" s="29" t="e">
        <f t="shared" si="12"/>
        <v>#VALUE!</v>
      </c>
      <c r="E37" s="30" t="e">
        <f t="shared" si="13"/>
        <v>#VALUE!</v>
      </c>
      <c r="F37" s="30" t="e">
        <f t="shared" si="14"/>
        <v>#VALUE!</v>
      </c>
      <c r="G37" s="30" t="e">
        <f t="shared" si="15"/>
        <v>#VALUE!</v>
      </c>
      <c r="H37" s="30" t="e">
        <f t="shared" si="16"/>
        <v>#VALUE!</v>
      </c>
      <c r="I37" s="30" t="e">
        <f t="shared" si="17"/>
        <v>#VALUE!</v>
      </c>
    </row>
    <row r="38" spans="1:9" ht="30" customHeight="1" x14ac:dyDescent="0.3">
      <c r="A38" s="1">
        <f>'База даних'!B40</f>
        <v>0</v>
      </c>
      <c r="B38" s="28" t="e">
        <f t="shared" si="10"/>
        <v>#VALUE!</v>
      </c>
      <c r="C38" s="28" t="e">
        <f t="shared" si="11"/>
        <v>#VALUE!</v>
      </c>
      <c r="D38" s="29" t="e">
        <f t="shared" si="12"/>
        <v>#VALUE!</v>
      </c>
      <c r="E38" s="30" t="e">
        <f t="shared" si="13"/>
        <v>#VALUE!</v>
      </c>
      <c r="F38" s="30" t="e">
        <f t="shared" si="14"/>
        <v>#VALUE!</v>
      </c>
      <c r="G38" s="30" t="e">
        <f t="shared" si="15"/>
        <v>#VALUE!</v>
      </c>
      <c r="H38" s="30" t="e">
        <f t="shared" si="16"/>
        <v>#VALUE!</v>
      </c>
      <c r="I38" s="30" t="e">
        <f t="shared" si="17"/>
        <v>#VALUE!</v>
      </c>
    </row>
    <row r="39" spans="1:9" ht="30" customHeight="1" x14ac:dyDescent="0.3">
      <c r="A39" s="1">
        <f>'База даних'!B41</f>
        <v>0</v>
      </c>
      <c r="B39" s="28" t="e">
        <f t="shared" si="10"/>
        <v>#VALUE!</v>
      </c>
      <c r="C39" s="28" t="e">
        <f t="shared" si="11"/>
        <v>#VALUE!</v>
      </c>
      <c r="D39" s="29" t="e">
        <f t="shared" si="12"/>
        <v>#VALUE!</v>
      </c>
      <c r="E39" s="30" t="e">
        <f t="shared" si="13"/>
        <v>#VALUE!</v>
      </c>
      <c r="F39" s="30" t="e">
        <f t="shared" si="14"/>
        <v>#VALUE!</v>
      </c>
      <c r="G39" s="30" t="e">
        <f t="shared" si="15"/>
        <v>#VALUE!</v>
      </c>
      <c r="H39" s="30" t="e">
        <f t="shared" si="16"/>
        <v>#VALUE!</v>
      </c>
      <c r="I39" s="30" t="e">
        <f t="shared" si="17"/>
        <v>#VALUE!</v>
      </c>
    </row>
    <row r="40" spans="1:9" ht="30" customHeight="1" x14ac:dyDescent="0.3">
      <c r="A40" s="1">
        <f>'База даних'!B42</f>
        <v>0</v>
      </c>
      <c r="B40" s="28" t="e">
        <f t="shared" si="10"/>
        <v>#VALUE!</v>
      </c>
      <c r="C40" s="28" t="e">
        <f t="shared" si="11"/>
        <v>#VALUE!</v>
      </c>
      <c r="D40" s="29" t="e">
        <f t="shared" si="12"/>
        <v>#VALUE!</v>
      </c>
      <c r="E40" s="30" t="e">
        <f t="shared" si="13"/>
        <v>#VALUE!</v>
      </c>
      <c r="F40" s="30" t="e">
        <f t="shared" si="14"/>
        <v>#VALUE!</v>
      </c>
      <c r="G40" s="30" t="e">
        <f t="shared" si="15"/>
        <v>#VALUE!</v>
      </c>
      <c r="H40" s="30" t="e">
        <f t="shared" si="16"/>
        <v>#VALUE!</v>
      </c>
      <c r="I40" s="30" t="e">
        <f t="shared" si="17"/>
        <v>#VALUE!</v>
      </c>
    </row>
    <row r="41" spans="1:9" ht="30" customHeight="1" x14ac:dyDescent="0.3">
      <c r="A41" s="1">
        <f>'База даних'!B43</f>
        <v>0</v>
      </c>
      <c r="B41" s="28" t="e">
        <f t="shared" si="10"/>
        <v>#VALUE!</v>
      </c>
      <c r="C41" s="28" t="e">
        <f t="shared" si="11"/>
        <v>#VALUE!</v>
      </c>
      <c r="D41" s="29" t="e">
        <f t="shared" si="12"/>
        <v>#VALUE!</v>
      </c>
      <c r="E41" s="30" t="e">
        <f t="shared" si="13"/>
        <v>#VALUE!</v>
      </c>
      <c r="F41" s="30" t="e">
        <f t="shared" si="14"/>
        <v>#VALUE!</v>
      </c>
      <c r="G41" s="30" t="e">
        <f t="shared" si="15"/>
        <v>#VALUE!</v>
      </c>
      <c r="H41" s="30" t="e">
        <f t="shared" si="16"/>
        <v>#VALUE!</v>
      </c>
      <c r="I41" s="30" t="e">
        <f t="shared" si="17"/>
        <v>#VALUE!</v>
      </c>
    </row>
    <row r="42" spans="1:9" ht="30" customHeight="1" x14ac:dyDescent="0.3">
      <c r="A42" s="1">
        <f>'База даних'!B44</f>
        <v>0</v>
      </c>
      <c r="B42" s="28" t="e">
        <f t="shared" si="10"/>
        <v>#VALUE!</v>
      </c>
      <c r="C42" s="28" t="e">
        <f t="shared" si="11"/>
        <v>#VALUE!</v>
      </c>
      <c r="D42" s="29" t="e">
        <f t="shared" si="12"/>
        <v>#VALUE!</v>
      </c>
      <c r="E42" s="30" t="e">
        <f t="shared" si="13"/>
        <v>#VALUE!</v>
      </c>
      <c r="F42" s="30" t="e">
        <f t="shared" si="14"/>
        <v>#VALUE!</v>
      </c>
      <c r="G42" s="30" t="e">
        <f t="shared" si="15"/>
        <v>#VALUE!</v>
      </c>
      <c r="H42" s="30" t="e">
        <f t="shared" si="16"/>
        <v>#VALUE!</v>
      </c>
      <c r="I42" s="30" t="e">
        <f t="shared" si="17"/>
        <v>#VALUE!</v>
      </c>
    </row>
    <row r="43" spans="1:9" ht="30" customHeight="1" x14ac:dyDescent="0.3">
      <c r="A43" s="1">
        <f>'База даних'!B45</f>
        <v>0</v>
      </c>
      <c r="B43" s="28" t="e">
        <f t="shared" si="10"/>
        <v>#VALUE!</v>
      </c>
      <c r="C43" s="28" t="e">
        <f t="shared" si="11"/>
        <v>#VALUE!</v>
      </c>
      <c r="D43" s="29" t="e">
        <f t="shared" si="12"/>
        <v>#VALUE!</v>
      </c>
      <c r="E43" s="30" t="e">
        <f t="shared" si="13"/>
        <v>#VALUE!</v>
      </c>
      <c r="F43" s="30" t="e">
        <f t="shared" si="14"/>
        <v>#VALUE!</v>
      </c>
      <c r="G43" s="30" t="e">
        <f t="shared" si="15"/>
        <v>#VALUE!</v>
      </c>
      <c r="H43" s="30" t="e">
        <f t="shared" si="16"/>
        <v>#VALUE!</v>
      </c>
      <c r="I43" s="30" t="e">
        <f t="shared" si="17"/>
        <v>#VALUE!</v>
      </c>
    </row>
    <row r="44" spans="1:9" ht="30" customHeight="1" x14ac:dyDescent="0.3">
      <c r="A44" s="1">
        <f>'База даних'!B46</f>
        <v>0</v>
      </c>
      <c r="B44" s="28" t="e">
        <f t="shared" si="10"/>
        <v>#VALUE!</v>
      </c>
      <c r="C44" s="28" t="e">
        <f t="shared" si="11"/>
        <v>#VALUE!</v>
      </c>
      <c r="D44" s="29" t="e">
        <f t="shared" si="12"/>
        <v>#VALUE!</v>
      </c>
      <c r="E44" s="30" t="e">
        <f t="shared" si="13"/>
        <v>#VALUE!</v>
      </c>
      <c r="F44" s="30" t="e">
        <f t="shared" si="14"/>
        <v>#VALUE!</v>
      </c>
      <c r="G44" s="30" t="e">
        <f t="shared" si="15"/>
        <v>#VALUE!</v>
      </c>
      <c r="H44" s="30" t="e">
        <f t="shared" si="16"/>
        <v>#VALUE!</v>
      </c>
      <c r="I44" s="30" t="e">
        <f t="shared" si="17"/>
        <v>#VALUE!</v>
      </c>
    </row>
    <row r="45" spans="1:9" ht="30" customHeight="1" x14ac:dyDescent="0.3">
      <c r="A45" s="1">
        <f>'База даних'!B47</f>
        <v>0</v>
      </c>
      <c r="B45" s="28" t="e">
        <f t="shared" si="10"/>
        <v>#VALUE!</v>
      </c>
      <c r="C45" s="28" t="e">
        <f t="shared" si="11"/>
        <v>#VALUE!</v>
      </c>
      <c r="D45" s="29" t="e">
        <f t="shared" si="12"/>
        <v>#VALUE!</v>
      </c>
      <c r="E45" s="30" t="e">
        <f t="shared" si="13"/>
        <v>#VALUE!</v>
      </c>
      <c r="F45" s="30" t="e">
        <f t="shared" si="14"/>
        <v>#VALUE!</v>
      </c>
      <c r="G45" s="30" t="e">
        <f t="shared" si="15"/>
        <v>#VALUE!</v>
      </c>
      <c r="H45" s="30" t="e">
        <f t="shared" si="16"/>
        <v>#VALUE!</v>
      </c>
      <c r="I45" s="30" t="e">
        <f t="shared" si="17"/>
        <v>#VALUE!</v>
      </c>
    </row>
    <row r="46" spans="1:9" ht="30" customHeight="1" x14ac:dyDescent="0.3">
      <c r="A46" s="1">
        <f>'База даних'!B48</f>
        <v>0</v>
      </c>
      <c r="B46" s="28" t="e">
        <f t="shared" si="10"/>
        <v>#VALUE!</v>
      </c>
      <c r="C46" s="28" t="e">
        <f t="shared" si="11"/>
        <v>#VALUE!</v>
      </c>
      <c r="D46" s="29" t="e">
        <f t="shared" si="12"/>
        <v>#VALUE!</v>
      </c>
      <c r="E46" s="30" t="e">
        <f t="shared" si="13"/>
        <v>#VALUE!</v>
      </c>
      <c r="F46" s="30" t="e">
        <f t="shared" si="14"/>
        <v>#VALUE!</v>
      </c>
      <c r="G46" s="30" t="e">
        <f t="shared" si="15"/>
        <v>#VALUE!</v>
      </c>
      <c r="H46" s="30" t="e">
        <f t="shared" si="16"/>
        <v>#VALUE!</v>
      </c>
      <c r="I46" s="30" t="e">
        <f t="shared" si="17"/>
        <v>#VALUE!</v>
      </c>
    </row>
    <row r="47" spans="1:9" ht="30" customHeight="1" x14ac:dyDescent="0.3">
      <c r="A47" s="1">
        <f>'База даних'!B49</f>
        <v>0</v>
      </c>
      <c r="B47" s="28" t="e">
        <f t="shared" si="10"/>
        <v>#VALUE!</v>
      </c>
      <c r="C47" s="28" t="e">
        <f t="shared" si="11"/>
        <v>#VALUE!</v>
      </c>
      <c r="D47" s="29" t="e">
        <f t="shared" si="12"/>
        <v>#VALUE!</v>
      </c>
      <c r="E47" s="30" t="e">
        <f t="shared" si="13"/>
        <v>#VALUE!</v>
      </c>
      <c r="F47" s="30" t="e">
        <f t="shared" si="14"/>
        <v>#VALUE!</v>
      </c>
      <c r="G47" s="30" t="e">
        <f t="shared" si="15"/>
        <v>#VALUE!</v>
      </c>
      <c r="H47" s="30" t="e">
        <f t="shared" si="16"/>
        <v>#VALUE!</v>
      </c>
      <c r="I47" s="30" t="e">
        <f t="shared" si="17"/>
        <v>#VALUE!</v>
      </c>
    </row>
    <row r="48" spans="1:9" ht="30" customHeight="1" x14ac:dyDescent="0.3">
      <c r="A48" s="1">
        <f>'База даних'!B50</f>
        <v>0</v>
      </c>
      <c r="B48" s="28" t="e">
        <f t="shared" si="10"/>
        <v>#VALUE!</v>
      </c>
      <c r="C48" s="28" t="e">
        <f t="shared" si="11"/>
        <v>#VALUE!</v>
      </c>
      <c r="D48" s="29" t="e">
        <f t="shared" si="12"/>
        <v>#VALUE!</v>
      </c>
      <c r="E48" s="30" t="e">
        <f t="shared" si="13"/>
        <v>#VALUE!</v>
      </c>
      <c r="F48" s="30" t="e">
        <f t="shared" si="14"/>
        <v>#VALUE!</v>
      </c>
      <c r="G48" s="30" t="e">
        <f t="shared" si="15"/>
        <v>#VALUE!</v>
      </c>
      <c r="H48" s="30" t="e">
        <f t="shared" si="16"/>
        <v>#VALUE!</v>
      </c>
      <c r="I48" s="30" t="e">
        <f t="shared" si="17"/>
        <v>#VALUE!</v>
      </c>
    </row>
    <row r="49" spans="1:9" ht="30" customHeight="1" x14ac:dyDescent="0.3">
      <c r="A49" s="1">
        <f>'База даних'!B51</f>
        <v>0</v>
      </c>
      <c r="B49" s="28" t="e">
        <f t="shared" si="10"/>
        <v>#VALUE!</v>
      </c>
      <c r="C49" s="28" t="e">
        <f t="shared" si="11"/>
        <v>#VALUE!</v>
      </c>
      <c r="D49" s="29" t="e">
        <f t="shared" si="12"/>
        <v>#VALUE!</v>
      </c>
      <c r="E49" s="30" t="e">
        <f t="shared" si="13"/>
        <v>#VALUE!</v>
      </c>
      <c r="F49" s="30" t="e">
        <f t="shared" si="14"/>
        <v>#VALUE!</v>
      </c>
      <c r="G49" s="30" t="e">
        <f t="shared" si="15"/>
        <v>#VALUE!</v>
      </c>
      <c r="H49" s="30" t="e">
        <f t="shared" si="16"/>
        <v>#VALUE!</v>
      </c>
      <c r="I49" s="30" t="e">
        <f t="shared" si="17"/>
        <v>#VALUE!</v>
      </c>
    </row>
    <row r="50" spans="1:9" ht="30" customHeight="1" x14ac:dyDescent="0.3">
      <c r="A50" s="1">
        <f>'База даних'!B52</f>
        <v>0</v>
      </c>
      <c r="B50" s="28" t="e">
        <f t="shared" si="10"/>
        <v>#VALUE!</v>
      </c>
      <c r="C50" s="28" t="e">
        <f t="shared" si="11"/>
        <v>#VALUE!</v>
      </c>
      <c r="D50" s="29" t="e">
        <f t="shared" si="12"/>
        <v>#VALUE!</v>
      </c>
      <c r="E50" s="30" t="e">
        <f t="shared" si="13"/>
        <v>#VALUE!</v>
      </c>
      <c r="F50" s="30" t="e">
        <f t="shared" si="14"/>
        <v>#VALUE!</v>
      </c>
      <c r="G50" s="30" t="e">
        <f t="shared" si="15"/>
        <v>#VALUE!</v>
      </c>
      <c r="H50" s="30" t="e">
        <f t="shared" si="16"/>
        <v>#VALUE!</v>
      </c>
      <c r="I50" s="30" t="e">
        <f t="shared" si="17"/>
        <v>#VALUE!</v>
      </c>
    </row>
    <row r="51" spans="1:9" ht="30" customHeight="1" x14ac:dyDescent="0.3">
      <c r="A51" s="1">
        <f>'База даних'!B53</f>
        <v>0</v>
      </c>
      <c r="B51" s="28" t="e">
        <f t="shared" si="10"/>
        <v>#VALUE!</v>
      </c>
      <c r="C51" s="28" t="e">
        <f t="shared" si="11"/>
        <v>#VALUE!</v>
      </c>
      <c r="D51" s="29" t="e">
        <f t="shared" si="12"/>
        <v>#VALUE!</v>
      </c>
      <c r="E51" s="30" t="e">
        <f t="shared" si="13"/>
        <v>#VALUE!</v>
      </c>
      <c r="F51" s="30" t="e">
        <f t="shared" si="14"/>
        <v>#VALUE!</v>
      </c>
      <c r="G51" s="30" t="e">
        <f t="shared" si="15"/>
        <v>#VALUE!</v>
      </c>
      <c r="H51" s="30" t="e">
        <f t="shared" si="16"/>
        <v>#VALUE!</v>
      </c>
      <c r="I51" s="30" t="e">
        <f t="shared" si="17"/>
        <v>#VALUE!</v>
      </c>
    </row>
    <row r="52" spans="1:9" ht="30" customHeight="1" x14ac:dyDescent="0.3">
      <c r="A52" s="1">
        <f>'База даних'!B54</f>
        <v>0</v>
      </c>
      <c r="B52" s="28" t="e">
        <f t="shared" si="10"/>
        <v>#VALUE!</v>
      </c>
      <c r="C52" s="28" t="e">
        <f t="shared" si="11"/>
        <v>#VALUE!</v>
      </c>
      <c r="D52" s="29" t="e">
        <f t="shared" si="12"/>
        <v>#VALUE!</v>
      </c>
      <c r="E52" s="30" t="e">
        <f t="shared" si="13"/>
        <v>#VALUE!</v>
      </c>
      <c r="F52" s="30" t="e">
        <f t="shared" si="14"/>
        <v>#VALUE!</v>
      </c>
      <c r="G52" s="30" t="e">
        <f t="shared" si="15"/>
        <v>#VALUE!</v>
      </c>
      <c r="H52" s="30" t="e">
        <f t="shared" si="16"/>
        <v>#VALUE!</v>
      </c>
      <c r="I52" s="30" t="e">
        <f t="shared" si="17"/>
        <v>#VALUE!</v>
      </c>
    </row>
    <row r="53" spans="1:9" ht="30" customHeight="1" x14ac:dyDescent="0.3">
      <c r="A53" s="1">
        <f>'База даних'!B55</f>
        <v>0</v>
      </c>
      <c r="B53" s="28" t="e">
        <f t="shared" si="10"/>
        <v>#VALUE!</v>
      </c>
      <c r="C53" s="28" t="e">
        <f t="shared" si="11"/>
        <v>#VALUE!</v>
      </c>
      <c r="D53" s="29" t="e">
        <f t="shared" si="12"/>
        <v>#VALUE!</v>
      </c>
      <c r="E53" s="30" t="e">
        <f t="shared" si="13"/>
        <v>#VALUE!</v>
      </c>
      <c r="F53" s="30" t="e">
        <f t="shared" si="14"/>
        <v>#VALUE!</v>
      </c>
      <c r="G53" s="30" t="e">
        <f t="shared" si="15"/>
        <v>#VALUE!</v>
      </c>
      <c r="H53" s="30" t="e">
        <f t="shared" si="16"/>
        <v>#VALUE!</v>
      </c>
      <c r="I53" s="30" t="e">
        <f t="shared" si="17"/>
        <v>#VALUE!</v>
      </c>
    </row>
    <row r="54" spans="1:9" ht="30" customHeight="1" x14ac:dyDescent="0.3">
      <c r="A54" s="1">
        <f>'База даних'!B56</f>
        <v>0</v>
      </c>
      <c r="B54" s="28" t="e">
        <f t="shared" si="10"/>
        <v>#VALUE!</v>
      </c>
      <c r="C54" s="28" t="e">
        <f t="shared" si="11"/>
        <v>#VALUE!</v>
      </c>
      <c r="D54" s="29" t="e">
        <f t="shared" si="12"/>
        <v>#VALUE!</v>
      </c>
      <c r="E54" s="30" t="e">
        <f t="shared" si="13"/>
        <v>#VALUE!</v>
      </c>
      <c r="F54" s="30" t="e">
        <f t="shared" si="14"/>
        <v>#VALUE!</v>
      </c>
      <c r="G54" s="30" t="e">
        <f t="shared" si="15"/>
        <v>#VALUE!</v>
      </c>
      <c r="H54" s="30" t="e">
        <f t="shared" si="16"/>
        <v>#VALUE!</v>
      </c>
      <c r="I54" s="30" t="e">
        <f t="shared" si="17"/>
        <v>#VALUE!</v>
      </c>
    </row>
    <row r="55" spans="1:9" ht="30" customHeight="1" x14ac:dyDescent="0.3">
      <c r="A55" s="1">
        <f>'База даних'!B57</f>
        <v>0</v>
      </c>
      <c r="B55" s="28" t="e">
        <f t="shared" si="10"/>
        <v>#VALUE!</v>
      </c>
      <c r="C55" s="28" t="e">
        <f t="shared" si="11"/>
        <v>#VALUE!</v>
      </c>
      <c r="D55" s="29" t="e">
        <f t="shared" si="12"/>
        <v>#VALUE!</v>
      </c>
      <c r="E55" s="30" t="e">
        <f t="shared" si="13"/>
        <v>#VALUE!</v>
      </c>
      <c r="F55" s="30" t="e">
        <f t="shared" si="14"/>
        <v>#VALUE!</v>
      </c>
      <c r="G55" s="30" t="e">
        <f t="shared" si="15"/>
        <v>#VALUE!</v>
      </c>
      <c r="H55" s="30" t="e">
        <f t="shared" si="16"/>
        <v>#VALUE!</v>
      </c>
      <c r="I55" s="30" t="e">
        <f t="shared" si="17"/>
        <v>#VALUE!</v>
      </c>
    </row>
    <row r="56" spans="1:9" ht="30" customHeight="1" x14ac:dyDescent="0.3">
      <c r="A56" s="1">
        <f>'База даних'!B58</f>
        <v>0</v>
      </c>
      <c r="B56" s="28" t="e">
        <f t="shared" si="10"/>
        <v>#VALUE!</v>
      </c>
      <c r="C56" s="28" t="e">
        <f t="shared" si="11"/>
        <v>#VALUE!</v>
      </c>
      <c r="D56" s="29" t="e">
        <f t="shared" si="12"/>
        <v>#VALUE!</v>
      </c>
      <c r="E56" s="30" t="e">
        <f t="shared" si="13"/>
        <v>#VALUE!</v>
      </c>
      <c r="F56" s="30" t="e">
        <f t="shared" si="14"/>
        <v>#VALUE!</v>
      </c>
      <c r="G56" s="30" t="e">
        <f t="shared" si="15"/>
        <v>#VALUE!</v>
      </c>
      <c r="H56" s="30" t="e">
        <f t="shared" si="16"/>
        <v>#VALUE!</v>
      </c>
      <c r="I56" s="30" t="e">
        <f t="shared" si="17"/>
        <v>#VALUE!</v>
      </c>
    </row>
    <row r="57" spans="1:9" ht="30" customHeight="1" x14ac:dyDescent="0.3">
      <c r="A57" s="1">
        <f>'База даних'!B59</f>
        <v>0</v>
      </c>
      <c r="B57" s="28" t="e">
        <f t="shared" si="10"/>
        <v>#VALUE!</v>
      </c>
      <c r="C57" s="28" t="e">
        <f t="shared" si="11"/>
        <v>#VALUE!</v>
      </c>
      <c r="D57" s="29" t="e">
        <f t="shared" si="12"/>
        <v>#VALUE!</v>
      </c>
      <c r="E57" s="30" t="e">
        <f t="shared" si="13"/>
        <v>#VALUE!</v>
      </c>
      <c r="F57" s="30" t="e">
        <f t="shared" si="14"/>
        <v>#VALUE!</v>
      </c>
      <c r="G57" s="30" t="e">
        <f t="shared" si="15"/>
        <v>#VALUE!</v>
      </c>
      <c r="H57" s="30" t="e">
        <f t="shared" si="16"/>
        <v>#VALUE!</v>
      </c>
      <c r="I57" s="30" t="e">
        <f t="shared" si="17"/>
        <v>#VALUE!</v>
      </c>
    </row>
    <row r="58" spans="1:9" ht="30" customHeight="1" x14ac:dyDescent="0.3">
      <c r="A58" s="1">
        <f>'База даних'!B60</f>
        <v>0</v>
      </c>
      <c r="B58" s="28" t="e">
        <f t="shared" si="10"/>
        <v>#VALUE!</v>
      </c>
      <c r="C58" s="28" t="e">
        <f t="shared" si="11"/>
        <v>#VALUE!</v>
      </c>
      <c r="D58" s="29" t="e">
        <f t="shared" si="12"/>
        <v>#VALUE!</v>
      </c>
      <c r="E58" s="30" t="e">
        <f t="shared" si="13"/>
        <v>#VALUE!</v>
      </c>
      <c r="F58" s="30" t="e">
        <f t="shared" si="14"/>
        <v>#VALUE!</v>
      </c>
      <c r="G58" s="30" t="e">
        <f t="shared" si="15"/>
        <v>#VALUE!</v>
      </c>
      <c r="H58" s="30" t="e">
        <f t="shared" si="16"/>
        <v>#VALUE!</v>
      </c>
      <c r="I58" s="30" t="e">
        <f t="shared" si="17"/>
        <v>#VALUE!</v>
      </c>
    </row>
    <row r="59" spans="1:9" ht="30" customHeight="1" x14ac:dyDescent="0.3">
      <c r="A59" s="1">
        <f>'База даних'!B61</f>
        <v>0</v>
      </c>
      <c r="B59" s="28" t="e">
        <f t="shared" si="10"/>
        <v>#VALUE!</v>
      </c>
      <c r="C59" s="28" t="e">
        <f t="shared" si="11"/>
        <v>#VALUE!</v>
      </c>
      <c r="D59" s="29" t="e">
        <f t="shared" si="12"/>
        <v>#VALUE!</v>
      </c>
      <c r="E59" s="30" t="e">
        <f t="shared" si="13"/>
        <v>#VALUE!</v>
      </c>
      <c r="F59" s="30" t="e">
        <f t="shared" si="14"/>
        <v>#VALUE!</v>
      </c>
      <c r="G59" s="30" t="e">
        <f t="shared" si="15"/>
        <v>#VALUE!</v>
      </c>
      <c r="H59" s="30" t="e">
        <f t="shared" si="16"/>
        <v>#VALUE!</v>
      </c>
      <c r="I59" s="30" t="e">
        <f t="shared" si="17"/>
        <v>#VALUE!</v>
      </c>
    </row>
    <row r="60" spans="1:9" ht="30" customHeight="1" x14ac:dyDescent="0.3">
      <c r="A60" s="1">
        <f>'База даних'!B62</f>
        <v>0</v>
      </c>
      <c r="B60" s="28" t="e">
        <f t="shared" si="10"/>
        <v>#VALUE!</v>
      </c>
      <c r="C60" s="28" t="e">
        <f t="shared" si="11"/>
        <v>#VALUE!</v>
      </c>
      <c r="D60" s="29" t="e">
        <f t="shared" si="12"/>
        <v>#VALUE!</v>
      </c>
      <c r="E60" s="30" t="e">
        <f t="shared" si="13"/>
        <v>#VALUE!</v>
      </c>
      <c r="F60" s="30" t="e">
        <f t="shared" si="14"/>
        <v>#VALUE!</v>
      </c>
      <c r="G60" s="30" t="e">
        <f t="shared" si="15"/>
        <v>#VALUE!</v>
      </c>
      <c r="H60" s="30" t="e">
        <f t="shared" si="16"/>
        <v>#VALUE!</v>
      </c>
      <c r="I60" s="30" t="e">
        <f t="shared" si="17"/>
        <v>#VALUE!</v>
      </c>
    </row>
    <row r="61" spans="1:9" ht="30" customHeight="1" x14ac:dyDescent="0.3">
      <c r="A61" s="1">
        <f>'База даних'!B63</f>
        <v>0</v>
      </c>
      <c r="B61" s="28" t="e">
        <f t="shared" si="10"/>
        <v>#VALUE!</v>
      </c>
      <c r="C61" s="28" t="e">
        <f t="shared" si="11"/>
        <v>#VALUE!</v>
      </c>
      <c r="D61" s="29" t="e">
        <f t="shared" si="12"/>
        <v>#VALUE!</v>
      </c>
      <c r="E61" s="30" t="e">
        <f t="shared" si="13"/>
        <v>#VALUE!</v>
      </c>
      <c r="F61" s="30" t="e">
        <f t="shared" si="14"/>
        <v>#VALUE!</v>
      </c>
      <c r="G61" s="30" t="e">
        <f t="shared" si="15"/>
        <v>#VALUE!</v>
      </c>
      <c r="H61" s="30" t="e">
        <f t="shared" si="16"/>
        <v>#VALUE!</v>
      </c>
      <c r="I61" s="30" t="e">
        <f t="shared" si="17"/>
        <v>#VALUE!</v>
      </c>
    </row>
    <row r="62" spans="1:9" ht="30" customHeight="1" x14ac:dyDescent="0.3">
      <c r="A62" s="1">
        <f>'База даних'!B64</f>
        <v>0</v>
      </c>
      <c r="B62" s="28" t="e">
        <f t="shared" si="10"/>
        <v>#VALUE!</v>
      </c>
      <c r="C62" s="28" t="e">
        <f t="shared" si="11"/>
        <v>#VALUE!</v>
      </c>
      <c r="D62" s="29" t="e">
        <f t="shared" si="12"/>
        <v>#VALUE!</v>
      </c>
      <c r="E62" s="30" t="e">
        <f t="shared" si="13"/>
        <v>#VALUE!</v>
      </c>
      <c r="F62" s="30" t="e">
        <f t="shared" si="14"/>
        <v>#VALUE!</v>
      </c>
      <c r="G62" s="30" t="e">
        <f t="shared" si="15"/>
        <v>#VALUE!</v>
      </c>
      <c r="H62" s="30" t="e">
        <f t="shared" si="16"/>
        <v>#VALUE!</v>
      </c>
      <c r="I62" s="30" t="e">
        <f t="shared" si="17"/>
        <v>#VALUE!</v>
      </c>
    </row>
    <row r="63" spans="1:9" ht="30" customHeight="1" x14ac:dyDescent="0.3">
      <c r="A63" s="1">
        <f>'База даних'!B65</f>
        <v>0</v>
      </c>
      <c r="B63" s="28" t="e">
        <f t="shared" si="10"/>
        <v>#VALUE!</v>
      </c>
      <c r="C63" s="28" t="e">
        <f t="shared" si="11"/>
        <v>#VALUE!</v>
      </c>
      <c r="D63" s="29" t="e">
        <f t="shared" si="12"/>
        <v>#VALUE!</v>
      </c>
      <c r="E63" s="30" t="e">
        <f t="shared" si="13"/>
        <v>#VALUE!</v>
      </c>
      <c r="F63" s="30" t="e">
        <f t="shared" si="14"/>
        <v>#VALUE!</v>
      </c>
      <c r="G63" s="30" t="e">
        <f t="shared" si="15"/>
        <v>#VALUE!</v>
      </c>
      <c r="H63" s="30" t="e">
        <f t="shared" si="16"/>
        <v>#VALUE!</v>
      </c>
      <c r="I63" s="30" t="e">
        <f t="shared" si="17"/>
        <v>#VALUE!</v>
      </c>
    </row>
    <row r="64" spans="1:9" ht="30" customHeight="1" x14ac:dyDescent="0.3">
      <c r="A64" s="1">
        <f>'База даних'!B66</f>
        <v>0</v>
      </c>
      <c r="B64" s="28" t="e">
        <f t="shared" si="10"/>
        <v>#VALUE!</v>
      </c>
      <c r="C64" s="28" t="e">
        <f t="shared" si="11"/>
        <v>#VALUE!</v>
      </c>
      <c r="D64" s="29" t="e">
        <f t="shared" si="12"/>
        <v>#VALUE!</v>
      </c>
      <c r="E64" s="30" t="e">
        <f t="shared" si="13"/>
        <v>#VALUE!</v>
      </c>
      <c r="F64" s="30" t="e">
        <f t="shared" si="14"/>
        <v>#VALUE!</v>
      </c>
      <c r="G64" s="30" t="e">
        <f t="shared" si="15"/>
        <v>#VALUE!</v>
      </c>
      <c r="H64" s="30" t="e">
        <f t="shared" si="16"/>
        <v>#VALUE!</v>
      </c>
      <c r="I64" s="30" t="e">
        <f t="shared" si="17"/>
        <v>#VALUE!</v>
      </c>
    </row>
    <row r="65" spans="1:9" ht="30" customHeight="1" x14ac:dyDescent="0.3">
      <c r="A65" s="1">
        <f>'База даних'!B67</f>
        <v>0</v>
      </c>
      <c r="B65" s="28" t="e">
        <f t="shared" si="10"/>
        <v>#VALUE!</v>
      </c>
      <c r="C65" s="28" t="e">
        <f t="shared" si="11"/>
        <v>#VALUE!</v>
      </c>
      <c r="D65" s="29" t="e">
        <f t="shared" si="12"/>
        <v>#VALUE!</v>
      </c>
      <c r="E65" s="30" t="e">
        <f t="shared" si="13"/>
        <v>#VALUE!</v>
      </c>
      <c r="F65" s="30" t="e">
        <f t="shared" si="14"/>
        <v>#VALUE!</v>
      </c>
      <c r="G65" s="30" t="e">
        <f t="shared" si="15"/>
        <v>#VALUE!</v>
      </c>
      <c r="H65" s="30" t="e">
        <f t="shared" si="16"/>
        <v>#VALUE!</v>
      </c>
      <c r="I65" s="30" t="e">
        <f t="shared" si="17"/>
        <v>#VALUE!</v>
      </c>
    </row>
    <row r="66" spans="1:9" ht="30" customHeight="1" x14ac:dyDescent="0.3">
      <c r="A66" s="1">
        <f>'База даних'!B68</f>
        <v>0</v>
      </c>
      <c r="B66" s="28" t="e">
        <f t="shared" si="10"/>
        <v>#VALUE!</v>
      </c>
      <c r="C66" s="28" t="e">
        <f t="shared" si="11"/>
        <v>#VALUE!</v>
      </c>
      <c r="D66" s="29" t="e">
        <f t="shared" si="12"/>
        <v>#VALUE!</v>
      </c>
      <c r="E66" s="30" t="e">
        <f t="shared" si="13"/>
        <v>#VALUE!</v>
      </c>
      <c r="F66" s="30" t="e">
        <f t="shared" si="14"/>
        <v>#VALUE!</v>
      </c>
      <c r="G66" s="30" t="e">
        <f t="shared" si="15"/>
        <v>#VALUE!</v>
      </c>
      <c r="H66" s="30" t="e">
        <f t="shared" si="16"/>
        <v>#VALUE!</v>
      </c>
      <c r="I66" s="30" t="e">
        <f t="shared" si="17"/>
        <v>#VALUE!</v>
      </c>
    </row>
    <row r="67" spans="1:9" ht="30" customHeight="1" x14ac:dyDescent="0.3">
      <c r="A67" s="1">
        <f>'База даних'!B69</f>
        <v>0</v>
      </c>
      <c r="B67" s="28" t="e">
        <f t="shared" si="10"/>
        <v>#VALUE!</v>
      </c>
      <c r="C67" s="28" t="e">
        <f t="shared" si="11"/>
        <v>#VALUE!</v>
      </c>
      <c r="D67" s="29" t="e">
        <f t="shared" si="12"/>
        <v>#VALUE!</v>
      </c>
      <c r="E67" s="30" t="e">
        <f t="shared" si="13"/>
        <v>#VALUE!</v>
      </c>
      <c r="F67" s="30" t="e">
        <f t="shared" si="14"/>
        <v>#VALUE!</v>
      </c>
      <c r="G67" s="30" t="e">
        <f t="shared" si="15"/>
        <v>#VALUE!</v>
      </c>
      <c r="H67" s="30" t="e">
        <f t="shared" si="16"/>
        <v>#VALUE!</v>
      </c>
      <c r="I67" s="30" t="e">
        <f t="shared" si="17"/>
        <v>#VALUE!</v>
      </c>
    </row>
    <row r="68" spans="1:9" ht="30" customHeight="1" x14ac:dyDescent="0.3">
      <c r="A68" s="1">
        <f>'База даних'!B70</f>
        <v>0</v>
      </c>
      <c r="B68" s="28" t="e">
        <f t="shared" si="10"/>
        <v>#VALUE!</v>
      </c>
      <c r="C68" s="28" t="e">
        <f t="shared" si="11"/>
        <v>#VALUE!</v>
      </c>
      <c r="D68" s="29" t="e">
        <f t="shared" si="12"/>
        <v>#VALUE!</v>
      </c>
      <c r="E68" s="30" t="e">
        <f t="shared" si="13"/>
        <v>#VALUE!</v>
      </c>
      <c r="F68" s="30" t="e">
        <f t="shared" si="14"/>
        <v>#VALUE!</v>
      </c>
      <c r="G68" s="30" t="e">
        <f t="shared" si="15"/>
        <v>#VALUE!</v>
      </c>
      <c r="H68" s="30" t="e">
        <f t="shared" si="16"/>
        <v>#VALUE!</v>
      </c>
      <c r="I68" s="30" t="e">
        <f t="shared" si="17"/>
        <v>#VALUE!</v>
      </c>
    </row>
    <row r="69" spans="1:9" ht="30" customHeight="1" x14ac:dyDescent="0.3">
      <c r="A69" s="1">
        <f>'База даних'!B71</f>
        <v>0</v>
      </c>
      <c r="B69" s="28" t="e">
        <f t="shared" si="10"/>
        <v>#VALUE!</v>
      </c>
      <c r="C69" s="28" t="e">
        <f t="shared" si="11"/>
        <v>#VALUE!</v>
      </c>
      <c r="D69" s="29" t="e">
        <f t="shared" si="12"/>
        <v>#VALUE!</v>
      </c>
      <c r="E69" s="30" t="e">
        <f t="shared" si="13"/>
        <v>#VALUE!</v>
      </c>
      <c r="F69" s="30" t="e">
        <f t="shared" si="14"/>
        <v>#VALUE!</v>
      </c>
      <c r="G69" s="30" t="e">
        <f t="shared" si="15"/>
        <v>#VALUE!</v>
      </c>
      <c r="H69" s="30" t="e">
        <f t="shared" si="16"/>
        <v>#VALUE!</v>
      </c>
      <c r="I69" s="30" t="e">
        <f t="shared" si="17"/>
        <v>#VALUE!</v>
      </c>
    </row>
    <row r="70" spans="1:9" ht="30" customHeight="1" x14ac:dyDescent="0.3">
      <c r="A70" s="1">
        <f>'База даних'!B72</f>
        <v>0</v>
      </c>
      <c r="B70" s="28" t="e">
        <f t="shared" si="10"/>
        <v>#VALUE!</v>
      </c>
      <c r="C70" s="28" t="e">
        <f t="shared" si="11"/>
        <v>#VALUE!</v>
      </c>
      <c r="D70" s="29" t="e">
        <f t="shared" si="12"/>
        <v>#VALUE!</v>
      </c>
      <c r="E70" s="30" t="e">
        <f t="shared" si="13"/>
        <v>#VALUE!</v>
      </c>
      <c r="F70" s="30" t="e">
        <f t="shared" si="14"/>
        <v>#VALUE!</v>
      </c>
      <c r="G70" s="30" t="e">
        <f t="shared" si="15"/>
        <v>#VALUE!</v>
      </c>
      <c r="H70" s="30" t="e">
        <f t="shared" si="16"/>
        <v>#VALUE!</v>
      </c>
      <c r="I70" s="30" t="e">
        <f t="shared" si="17"/>
        <v>#VALUE!</v>
      </c>
    </row>
    <row r="71" spans="1:9" ht="30" customHeight="1" x14ac:dyDescent="0.3">
      <c r="A71" s="1">
        <f>'База даних'!B73</f>
        <v>0</v>
      </c>
      <c r="B71" s="28" t="e">
        <f t="shared" si="10"/>
        <v>#VALUE!</v>
      </c>
      <c r="C71" s="28" t="e">
        <f t="shared" si="11"/>
        <v>#VALUE!</v>
      </c>
      <c r="D71" s="29" t="e">
        <f t="shared" si="12"/>
        <v>#VALUE!</v>
      </c>
      <c r="E71" s="30" t="e">
        <f t="shared" si="13"/>
        <v>#VALUE!</v>
      </c>
      <c r="F71" s="30" t="e">
        <f t="shared" si="14"/>
        <v>#VALUE!</v>
      </c>
      <c r="G71" s="30" t="e">
        <f t="shared" si="15"/>
        <v>#VALUE!</v>
      </c>
      <c r="H71" s="30" t="e">
        <f t="shared" si="16"/>
        <v>#VALUE!</v>
      </c>
      <c r="I71" s="30" t="e">
        <f t="shared" si="17"/>
        <v>#VALUE!</v>
      </c>
    </row>
    <row r="72" spans="1:9" ht="30" customHeight="1" x14ac:dyDescent="0.3">
      <c r="A72" s="1">
        <f>'База даних'!B74</f>
        <v>0</v>
      </c>
      <c r="B72" s="28" t="e">
        <f t="shared" si="10"/>
        <v>#VALUE!</v>
      </c>
      <c r="C72" s="28" t="e">
        <f t="shared" si="11"/>
        <v>#VALUE!</v>
      </c>
      <c r="D72" s="29" t="e">
        <f t="shared" si="12"/>
        <v>#VALUE!</v>
      </c>
      <c r="E72" s="30" t="e">
        <f t="shared" si="13"/>
        <v>#VALUE!</v>
      </c>
      <c r="F72" s="30" t="e">
        <f t="shared" si="14"/>
        <v>#VALUE!</v>
      </c>
      <c r="G72" s="30" t="e">
        <f t="shared" si="15"/>
        <v>#VALUE!</v>
      </c>
      <c r="H72" s="30" t="e">
        <f t="shared" si="16"/>
        <v>#VALUE!</v>
      </c>
      <c r="I72" s="30" t="e">
        <f t="shared" si="17"/>
        <v>#VALUE!</v>
      </c>
    </row>
    <row r="73" spans="1:9" ht="30" customHeight="1" x14ac:dyDescent="0.3">
      <c r="A73" s="1">
        <f>'База даних'!B75</f>
        <v>0</v>
      </c>
      <c r="B73" s="28" t="e">
        <f t="shared" si="10"/>
        <v>#VALUE!</v>
      </c>
      <c r="C73" s="28" t="e">
        <f t="shared" si="11"/>
        <v>#VALUE!</v>
      </c>
      <c r="D73" s="29" t="e">
        <f t="shared" si="12"/>
        <v>#VALUE!</v>
      </c>
      <c r="E73" s="30" t="e">
        <f t="shared" si="13"/>
        <v>#VALUE!</v>
      </c>
      <c r="F73" s="30" t="e">
        <f t="shared" si="14"/>
        <v>#VALUE!</v>
      </c>
      <c r="G73" s="30" t="e">
        <f t="shared" si="15"/>
        <v>#VALUE!</v>
      </c>
      <c r="H73" s="30" t="e">
        <f t="shared" si="16"/>
        <v>#VALUE!</v>
      </c>
      <c r="I73" s="30" t="e">
        <f t="shared" si="17"/>
        <v>#VALUE!</v>
      </c>
    </row>
    <row r="74" spans="1:9" ht="30" customHeight="1" x14ac:dyDescent="0.3">
      <c r="A74" s="1">
        <f>'База даних'!B76</f>
        <v>0</v>
      </c>
      <c r="B74" s="28" t="e">
        <f t="shared" si="10"/>
        <v>#VALUE!</v>
      </c>
      <c r="C74" s="28" t="e">
        <f t="shared" si="11"/>
        <v>#VALUE!</v>
      </c>
      <c r="D74" s="29" t="e">
        <f t="shared" si="12"/>
        <v>#VALUE!</v>
      </c>
      <c r="E74" s="30" t="e">
        <f t="shared" si="13"/>
        <v>#VALUE!</v>
      </c>
      <c r="F74" s="30" t="e">
        <f t="shared" si="14"/>
        <v>#VALUE!</v>
      </c>
      <c r="G74" s="30" t="e">
        <f t="shared" si="15"/>
        <v>#VALUE!</v>
      </c>
      <c r="H74" s="30" t="e">
        <f t="shared" si="16"/>
        <v>#VALUE!</v>
      </c>
      <c r="I74" s="30" t="e">
        <f t="shared" si="17"/>
        <v>#VALUE!</v>
      </c>
    </row>
    <row r="75" spans="1:9" ht="30" customHeight="1" x14ac:dyDescent="0.3">
      <c r="A75" s="1">
        <f>'База даних'!B77</f>
        <v>0</v>
      </c>
      <c r="B75" s="28" t="e">
        <f t="shared" si="10"/>
        <v>#VALUE!</v>
      </c>
      <c r="C75" s="28" t="e">
        <f t="shared" si="11"/>
        <v>#VALUE!</v>
      </c>
      <c r="D75" s="29" t="e">
        <f t="shared" si="12"/>
        <v>#VALUE!</v>
      </c>
      <c r="E75" s="30" t="e">
        <f t="shared" si="13"/>
        <v>#VALUE!</v>
      </c>
      <c r="F75" s="30" t="e">
        <f t="shared" si="14"/>
        <v>#VALUE!</v>
      </c>
      <c r="G75" s="30" t="e">
        <f t="shared" si="15"/>
        <v>#VALUE!</v>
      </c>
      <c r="H75" s="30" t="e">
        <f t="shared" si="16"/>
        <v>#VALUE!</v>
      </c>
      <c r="I75" s="30" t="e">
        <f t="shared" si="17"/>
        <v>#VALUE!</v>
      </c>
    </row>
    <row r="76" spans="1:9" ht="30" customHeight="1" x14ac:dyDescent="0.3">
      <c r="A76" s="1">
        <f>'База даних'!B78</f>
        <v>0</v>
      </c>
      <c r="B76" s="28" t="e">
        <f t="shared" si="10"/>
        <v>#VALUE!</v>
      </c>
      <c r="C76" s="28" t="e">
        <f t="shared" si="11"/>
        <v>#VALUE!</v>
      </c>
      <c r="D76" s="29" t="e">
        <f t="shared" si="12"/>
        <v>#VALUE!</v>
      </c>
      <c r="E76" s="30" t="e">
        <f t="shared" si="13"/>
        <v>#VALUE!</v>
      </c>
      <c r="F76" s="30" t="e">
        <f t="shared" si="14"/>
        <v>#VALUE!</v>
      </c>
      <c r="G76" s="30" t="e">
        <f t="shared" si="15"/>
        <v>#VALUE!</v>
      </c>
      <c r="H76" s="30" t="e">
        <f t="shared" si="16"/>
        <v>#VALUE!</v>
      </c>
      <c r="I76" s="30" t="e">
        <f t="shared" si="17"/>
        <v>#VALUE!</v>
      </c>
    </row>
    <row r="77" spans="1:9" ht="30" customHeight="1" x14ac:dyDescent="0.3">
      <c r="A77" s="1">
        <f>'База даних'!B79</f>
        <v>0</v>
      </c>
      <c r="B77" s="28" t="e">
        <f t="shared" si="10"/>
        <v>#VALUE!</v>
      </c>
      <c r="C77" s="28" t="e">
        <f t="shared" si="11"/>
        <v>#VALUE!</v>
      </c>
      <c r="D77" s="29" t="e">
        <f t="shared" si="12"/>
        <v>#VALUE!</v>
      </c>
      <c r="E77" s="30" t="e">
        <f t="shared" si="13"/>
        <v>#VALUE!</v>
      </c>
      <c r="F77" s="30" t="e">
        <f t="shared" si="14"/>
        <v>#VALUE!</v>
      </c>
      <c r="G77" s="30" t="e">
        <f t="shared" si="15"/>
        <v>#VALUE!</v>
      </c>
      <c r="H77" s="30" t="e">
        <f t="shared" si="16"/>
        <v>#VALUE!</v>
      </c>
      <c r="I77" s="30" t="e">
        <f t="shared" si="17"/>
        <v>#VALUE!</v>
      </c>
    </row>
    <row r="78" spans="1:9" ht="30" customHeight="1" x14ac:dyDescent="0.3">
      <c r="A78" s="1">
        <f>'База даних'!B80</f>
        <v>0</v>
      </c>
      <c r="B78" s="28" t="e">
        <f t="shared" si="10"/>
        <v>#VALUE!</v>
      </c>
      <c r="C78" s="28" t="e">
        <f t="shared" si="11"/>
        <v>#VALUE!</v>
      </c>
      <c r="D78" s="29" t="e">
        <f t="shared" si="12"/>
        <v>#VALUE!</v>
      </c>
      <c r="E78" s="30" t="e">
        <f t="shared" si="13"/>
        <v>#VALUE!</v>
      </c>
      <c r="F78" s="30" t="e">
        <f t="shared" si="14"/>
        <v>#VALUE!</v>
      </c>
      <c r="G78" s="30" t="e">
        <f t="shared" si="15"/>
        <v>#VALUE!</v>
      </c>
      <c r="H78" s="30" t="e">
        <f t="shared" si="16"/>
        <v>#VALUE!</v>
      </c>
      <c r="I78" s="30" t="e">
        <f t="shared" si="17"/>
        <v>#VALUE!</v>
      </c>
    </row>
    <row r="79" spans="1:9" ht="30" customHeight="1" x14ac:dyDescent="0.3">
      <c r="A79" s="1">
        <f>'База даних'!B81</f>
        <v>0</v>
      </c>
      <c r="B79" s="28" t="e">
        <f t="shared" si="10"/>
        <v>#VALUE!</v>
      </c>
      <c r="C79" s="28" t="e">
        <f t="shared" si="11"/>
        <v>#VALUE!</v>
      </c>
      <c r="D79" s="29" t="e">
        <f t="shared" si="12"/>
        <v>#VALUE!</v>
      </c>
      <c r="E79" s="30" t="e">
        <f t="shared" si="13"/>
        <v>#VALUE!</v>
      </c>
      <c r="F79" s="30" t="e">
        <f t="shared" si="14"/>
        <v>#VALUE!</v>
      </c>
      <c r="G79" s="30" t="e">
        <f t="shared" si="15"/>
        <v>#VALUE!</v>
      </c>
      <c r="H79" s="30" t="e">
        <f t="shared" si="16"/>
        <v>#VALUE!</v>
      </c>
      <c r="I79" s="30" t="e">
        <f t="shared" si="17"/>
        <v>#VALUE!</v>
      </c>
    </row>
    <row r="80" spans="1:9" ht="30" customHeight="1" x14ac:dyDescent="0.3">
      <c r="A80" s="1">
        <f>'База даних'!B82</f>
        <v>0</v>
      </c>
      <c r="B80" s="28" t="e">
        <f t="shared" si="10"/>
        <v>#VALUE!</v>
      </c>
      <c r="C80" s="28" t="e">
        <f t="shared" si="11"/>
        <v>#VALUE!</v>
      </c>
      <c r="D80" s="29" t="e">
        <f t="shared" si="12"/>
        <v>#VALUE!</v>
      </c>
      <c r="E80" s="30" t="e">
        <f t="shared" si="13"/>
        <v>#VALUE!</v>
      </c>
      <c r="F80" s="30" t="e">
        <f t="shared" si="14"/>
        <v>#VALUE!</v>
      </c>
      <c r="G80" s="30" t="e">
        <f t="shared" si="15"/>
        <v>#VALUE!</v>
      </c>
      <c r="H80" s="30" t="e">
        <f t="shared" si="16"/>
        <v>#VALUE!</v>
      </c>
      <c r="I80" s="30" t="e">
        <f t="shared" si="17"/>
        <v>#VALUE!</v>
      </c>
    </row>
    <row r="81" spans="1:9" ht="30" customHeight="1" x14ac:dyDescent="0.3">
      <c r="A81" s="1">
        <f>'База даних'!B83</f>
        <v>0</v>
      </c>
      <c r="B81" s="28" t="e">
        <f t="shared" si="10"/>
        <v>#VALUE!</v>
      </c>
      <c r="C81" s="28" t="e">
        <f t="shared" si="11"/>
        <v>#VALUE!</v>
      </c>
      <c r="D81" s="29" t="e">
        <f t="shared" si="12"/>
        <v>#VALUE!</v>
      </c>
      <c r="E81" s="30" t="e">
        <f t="shared" si="13"/>
        <v>#VALUE!</v>
      </c>
      <c r="F81" s="30" t="e">
        <f t="shared" si="14"/>
        <v>#VALUE!</v>
      </c>
      <c r="G81" s="30" t="e">
        <f t="shared" si="15"/>
        <v>#VALUE!</v>
      </c>
      <c r="H81" s="30" t="e">
        <f t="shared" si="16"/>
        <v>#VALUE!</v>
      </c>
      <c r="I81" s="30" t="e">
        <f t="shared" si="17"/>
        <v>#VALUE!</v>
      </c>
    </row>
    <row r="82" spans="1:9" ht="30" customHeight="1" x14ac:dyDescent="0.3">
      <c r="A82" s="1">
        <f>'База даних'!B84</f>
        <v>0</v>
      </c>
      <c r="B82" s="28" t="e">
        <f t="shared" si="10"/>
        <v>#VALUE!</v>
      </c>
      <c r="C82" s="28" t="e">
        <f t="shared" si="11"/>
        <v>#VALUE!</v>
      </c>
      <c r="D82" s="29" t="e">
        <f t="shared" si="12"/>
        <v>#VALUE!</v>
      </c>
      <c r="E82" s="30" t="e">
        <f t="shared" si="13"/>
        <v>#VALUE!</v>
      </c>
      <c r="F82" s="30" t="e">
        <f t="shared" si="14"/>
        <v>#VALUE!</v>
      </c>
      <c r="G82" s="30" t="e">
        <f t="shared" si="15"/>
        <v>#VALUE!</v>
      </c>
      <c r="H82" s="30" t="e">
        <f t="shared" si="16"/>
        <v>#VALUE!</v>
      </c>
      <c r="I82" s="30" t="e">
        <f t="shared" si="17"/>
        <v>#VALUE!</v>
      </c>
    </row>
    <row r="83" spans="1:9" ht="30" customHeight="1" x14ac:dyDescent="0.3">
      <c r="A83" s="1">
        <f>'База даних'!B85</f>
        <v>0</v>
      </c>
      <c r="B83" s="28" t="e">
        <f t="shared" si="10"/>
        <v>#VALUE!</v>
      </c>
      <c r="C83" s="28" t="e">
        <f t="shared" si="11"/>
        <v>#VALUE!</v>
      </c>
      <c r="D83" s="29" t="e">
        <f t="shared" si="12"/>
        <v>#VALUE!</v>
      </c>
      <c r="E83" s="30" t="e">
        <f t="shared" si="13"/>
        <v>#VALUE!</v>
      </c>
      <c r="F83" s="30" t="e">
        <f t="shared" si="14"/>
        <v>#VALUE!</v>
      </c>
      <c r="G83" s="30" t="e">
        <f t="shared" si="15"/>
        <v>#VALUE!</v>
      </c>
      <c r="H83" s="30" t="e">
        <f t="shared" si="16"/>
        <v>#VALUE!</v>
      </c>
      <c r="I83" s="30" t="e">
        <f t="shared" si="17"/>
        <v>#VALUE!</v>
      </c>
    </row>
    <row r="84" spans="1:9" ht="30" customHeight="1" x14ac:dyDescent="0.3">
      <c r="A84" s="1">
        <f>'База даних'!B86</f>
        <v>0</v>
      </c>
      <c r="B84" s="28" t="e">
        <f t="shared" si="10"/>
        <v>#VALUE!</v>
      </c>
      <c r="C84" s="28" t="e">
        <f t="shared" si="11"/>
        <v>#VALUE!</v>
      </c>
      <c r="D84" s="29" t="e">
        <f t="shared" si="12"/>
        <v>#VALUE!</v>
      </c>
      <c r="E84" s="30" t="e">
        <f t="shared" si="13"/>
        <v>#VALUE!</v>
      </c>
      <c r="F84" s="30" t="e">
        <f t="shared" si="14"/>
        <v>#VALUE!</v>
      </c>
      <c r="G84" s="30" t="e">
        <f t="shared" si="15"/>
        <v>#VALUE!</v>
      </c>
      <c r="H84" s="30" t="e">
        <f t="shared" si="16"/>
        <v>#VALUE!</v>
      </c>
      <c r="I84" s="30" t="e">
        <f t="shared" si="17"/>
        <v>#VALUE!</v>
      </c>
    </row>
    <row r="85" spans="1:9" ht="30" customHeight="1" x14ac:dyDescent="0.3">
      <c r="A85" s="1">
        <f>'База даних'!B87</f>
        <v>0</v>
      </c>
      <c r="B85" s="28" t="e">
        <f t="shared" ref="B85:B100" si="18">TRIM(LEFT(A85,FIND(" ",A85,1)))</f>
        <v>#VALUE!</v>
      </c>
      <c r="C85" s="28" t="e">
        <f t="shared" ref="C85:C100" si="19">TRIM(LEFT(TRIM(RIGHT(A85,LEN(A85)-LEN(B85))),FIND(" ",TRIM(RIGHT(A85,LEN(A85)-LEN(B85))),1)))</f>
        <v>#VALUE!</v>
      </c>
      <c r="D85" s="29" t="e">
        <f t="shared" ref="D85:D100" si="20">TRIM(RIGHT(A85,LEN(A85)-LEN(C85)-LEN(B85)-2))</f>
        <v>#VALUE!</v>
      </c>
      <c r="E85" s="30" t="e">
        <f t="shared" ref="E85:E100" si="21">OR(RIGHT(B85,1)="о",RIGHT(B85,1)="у",RIGHT(B85,1)="и",RIGHT(B85,1)="і",RIGHT(B85,1)="е")</f>
        <v>#VALUE!</v>
      </c>
      <c r="F85" s="30" t="e">
        <f t="shared" ref="F85:F100" si="22">IF(E85=TRUE,B85,IF(AND(RIGHT(B85,2)="ва",RIGHT(B85,1)="а"),LEFT(B85,LEN(B85)-1)&amp;"і",IF(RIGHT(B85,2)="ий",LEFT(B85,LEN(B85)-2)&amp;"ому",IF(RIGHT(B85,1)="а",LEFT(B85,LEN(B85)-1)&amp;"ові",B85&amp;"у"))))</f>
        <v>#VALUE!</v>
      </c>
      <c r="G85" s="30" t="e">
        <f t="shared" ref="G85:G100" si="23">IF(RIGHT(C85,2)="ій",LEFT(C85,LEN(C85)-1)&amp;"ю",IF(RIGHT(C85,1)="а",LEFT(C85,LEN(C85)-1)&amp;"і",IF(RIGHT(C85,1)="о",LEFT(C85,LEN(C85)-1)&amp;"у",LEFT(C85,LEN(C85))&amp;"у")))</f>
        <v>#VALUE!</v>
      </c>
      <c r="H85" s="30" t="e">
        <f t="shared" ref="H85:H100" si="24">D85&amp;"у"</f>
        <v>#VALUE!</v>
      </c>
      <c r="I85" s="30" t="e">
        <f t="shared" ref="I85:I100" si="25">F85&amp;" "&amp;G85&amp;" "&amp;H85</f>
        <v>#VALUE!</v>
      </c>
    </row>
    <row r="86" spans="1:9" ht="30" customHeight="1" x14ac:dyDescent="0.3">
      <c r="A86" s="1">
        <f>'База даних'!B88</f>
        <v>0</v>
      </c>
      <c r="B86" s="28" t="e">
        <f t="shared" si="18"/>
        <v>#VALUE!</v>
      </c>
      <c r="C86" s="28" t="e">
        <f t="shared" si="19"/>
        <v>#VALUE!</v>
      </c>
      <c r="D86" s="29" t="e">
        <f t="shared" si="20"/>
        <v>#VALUE!</v>
      </c>
      <c r="E86" s="30" t="e">
        <f t="shared" si="21"/>
        <v>#VALUE!</v>
      </c>
      <c r="F86" s="30" t="e">
        <f t="shared" si="22"/>
        <v>#VALUE!</v>
      </c>
      <c r="G86" s="30" t="e">
        <f t="shared" si="23"/>
        <v>#VALUE!</v>
      </c>
      <c r="H86" s="30" t="e">
        <f t="shared" si="24"/>
        <v>#VALUE!</v>
      </c>
      <c r="I86" s="30" t="e">
        <f t="shared" si="25"/>
        <v>#VALUE!</v>
      </c>
    </row>
    <row r="87" spans="1:9" ht="30" customHeight="1" x14ac:dyDescent="0.3">
      <c r="A87" s="1">
        <f>'База даних'!B89</f>
        <v>0</v>
      </c>
      <c r="B87" s="28" t="e">
        <f t="shared" si="18"/>
        <v>#VALUE!</v>
      </c>
      <c r="C87" s="28" t="e">
        <f t="shared" si="19"/>
        <v>#VALUE!</v>
      </c>
      <c r="D87" s="29" t="e">
        <f t="shared" si="20"/>
        <v>#VALUE!</v>
      </c>
      <c r="E87" s="30" t="e">
        <f t="shared" si="21"/>
        <v>#VALUE!</v>
      </c>
      <c r="F87" s="30" t="e">
        <f t="shared" si="22"/>
        <v>#VALUE!</v>
      </c>
      <c r="G87" s="30" t="e">
        <f t="shared" si="23"/>
        <v>#VALUE!</v>
      </c>
      <c r="H87" s="30" t="e">
        <f t="shared" si="24"/>
        <v>#VALUE!</v>
      </c>
      <c r="I87" s="30" t="e">
        <f t="shared" si="25"/>
        <v>#VALUE!</v>
      </c>
    </row>
    <row r="88" spans="1:9" ht="30" customHeight="1" x14ac:dyDescent="0.3">
      <c r="A88" s="1">
        <f>'База даних'!B90</f>
        <v>0</v>
      </c>
      <c r="B88" s="28" t="e">
        <f t="shared" si="18"/>
        <v>#VALUE!</v>
      </c>
      <c r="C88" s="28" t="e">
        <f t="shared" si="19"/>
        <v>#VALUE!</v>
      </c>
      <c r="D88" s="29" t="e">
        <f t="shared" si="20"/>
        <v>#VALUE!</v>
      </c>
      <c r="E88" s="30" t="e">
        <f t="shared" si="21"/>
        <v>#VALUE!</v>
      </c>
      <c r="F88" s="30" t="e">
        <f t="shared" si="22"/>
        <v>#VALUE!</v>
      </c>
      <c r="G88" s="30" t="e">
        <f t="shared" si="23"/>
        <v>#VALUE!</v>
      </c>
      <c r="H88" s="30" t="e">
        <f t="shared" si="24"/>
        <v>#VALUE!</v>
      </c>
      <c r="I88" s="30" t="e">
        <f t="shared" si="25"/>
        <v>#VALUE!</v>
      </c>
    </row>
    <row r="89" spans="1:9" ht="30" customHeight="1" x14ac:dyDescent="0.3">
      <c r="A89" s="1">
        <f>'База даних'!B91</f>
        <v>0</v>
      </c>
      <c r="B89" s="28" t="e">
        <f t="shared" si="18"/>
        <v>#VALUE!</v>
      </c>
      <c r="C89" s="28" t="e">
        <f t="shared" si="19"/>
        <v>#VALUE!</v>
      </c>
      <c r="D89" s="29" t="e">
        <f t="shared" si="20"/>
        <v>#VALUE!</v>
      </c>
      <c r="E89" s="30" t="e">
        <f t="shared" si="21"/>
        <v>#VALUE!</v>
      </c>
      <c r="F89" s="30" t="e">
        <f t="shared" si="22"/>
        <v>#VALUE!</v>
      </c>
      <c r="G89" s="30" t="e">
        <f t="shared" si="23"/>
        <v>#VALUE!</v>
      </c>
      <c r="H89" s="30" t="e">
        <f t="shared" si="24"/>
        <v>#VALUE!</v>
      </c>
      <c r="I89" s="30" t="e">
        <f t="shared" si="25"/>
        <v>#VALUE!</v>
      </c>
    </row>
    <row r="90" spans="1:9" ht="30" customHeight="1" x14ac:dyDescent="0.3">
      <c r="A90" s="1">
        <f>'База даних'!B92</f>
        <v>0</v>
      </c>
      <c r="B90" s="28" t="e">
        <f t="shared" si="18"/>
        <v>#VALUE!</v>
      </c>
      <c r="C90" s="28" t="e">
        <f t="shared" si="19"/>
        <v>#VALUE!</v>
      </c>
      <c r="D90" s="29" t="e">
        <f t="shared" si="20"/>
        <v>#VALUE!</v>
      </c>
      <c r="E90" s="30" t="e">
        <f t="shared" si="21"/>
        <v>#VALUE!</v>
      </c>
      <c r="F90" s="30" t="e">
        <f t="shared" si="22"/>
        <v>#VALUE!</v>
      </c>
      <c r="G90" s="30" t="e">
        <f t="shared" si="23"/>
        <v>#VALUE!</v>
      </c>
      <c r="H90" s="30" t="e">
        <f t="shared" si="24"/>
        <v>#VALUE!</v>
      </c>
      <c r="I90" s="30" t="e">
        <f t="shared" si="25"/>
        <v>#VALUE!</v>
      </c>
    </row>
    <row r="91" spans="1:9" ht="30" customHeight="1" x14ac:dyDescent="0.3">
      <c r="A91" s="1">
        <f>'База даних'!B93</f>
        <v>0</v>
      </c>
      <c r="B91" s="28" t="e">
        <f t="shared" si="18"/>
        <v>#VALUE!</v>
      </c>
      <c r="C91" s="28" t="e">
        <f t="shared" si="19"/>
        <v>#VALUE!</v>
      </c>
      <c r="D91" s="29" t="e">
        <f t="shared" si="20"/>
        <v>#VALUE!</v>
      </c>
      <c r="E91" s="30" t="e">
        <f t="shared" si="21"/>
        <v>#VALUE!</v>
      </c>
      <c r="F91" s="30" t="e">
        <f t="shared" si="22"/>
        <v>#VALUE!</v>
      </c>
      <c r="G91" s="30" t="e">
        <f t="shared" si="23"/>
        <v>#VALUE!</v>
      </c>
      <c r="H91" s="30" t="e">
        <f t="shared" si="24"/>
        <v>#VALUE!</v>
      </c>
      <c r="I91" s="30" t="e">
        <f t="shared" si="25"/>
        <v>#VALUE!</v>
      </c>
    </row>
    <row r="92" spans="1:9" ht="30" customHeight="1" x14ac:dyDescent="0.3">
      <c r="A92" s="1">
        <f>'База даних'!B94</f>
        <v>0</v>
      </c>
      <c r="B92" s="28" t="e">
        <f t="shared" si="18"/>
        <v>#VALUE!</v>
      </c>
      <c r="C92" s="28" t="e">
        <f t="shared" si="19"/>
        <v>#VALUE!</v>
      </c>
      <c r="D92" s="29" t="e">
        <f t="shared" si="20"/>
        <v>#VALUE!</v>
      </c>
      <c r="E92" s="30" t="e">
        <f t="shared" si="21"/>
        <v>#VALUE!</v>
      </c>
      <c r="F92" s="30" t="e">
        <f t="shared" si="22"/>
        <v>#VALUE!</v>
      </c>
      <c r="G92" s="30" t="e">
        <f t="shared" si="23"/>
        <v>#VALUE!</v>
      </c>
      <c r="H92" s="30" t="e">
        <f t="shared" si="24"/>
        <v>#VALUE!</v>
      </c>
      <c r="I92" s="30" t="e">
        <f t="shared" si="25"/>
        <v>#VALUE!</v>
      </c>
    </row>
    <row r="93" spans="1:9" ht="30" customHeight="1" x14ac:dyDescent="0.3">
      <c r="A93" s="1">
        <f>'База даних'!B95</f>
        <v>0</v>
      </c>
      <c r="B93" s="28" t="e">
        <f t="shared" si="18"/>
        <v>#VALUE!</v>
      </c>
      <c r="C93" s="28" t="e">
        <f t="shared" si="19"/>
        <v>#VALUE!</v>
      </c>
      <c r="D93" s="29" t="e">
        <f t="shared" si="20"/>
        <v>#VALUE!</v>
      </c>
      <c r="E93" s="30" t="e">
        <f t="shared" si="21"/>
        <v>#VALUE!</v>
      </c>
      <c r="F93" s="30" t="e">
        <f t="shared" si="22"/>
        <v>#VALUE!</v>
      </c>
      <c r="G93" s="30" t="e">
        <f t="shared" si="23"/>
        <v>#VALUE!</v>
      </c>
      <c r="H93" s="30" t="e">
        <f t="shared" si="24"/>
        <v>#VALUE!</v>
      </c>
      <c r="I93" s="30" t="e">
        <f t="shared" si="25"/>
        <v>#VALUE!</v>
      </c>
    </row>
    <row r="94" spans="1:9" ht="30" customHeight="1" x14ac:dyDescent="0.3">
      <c r="A94" s="1">
        <f>'База даних'!B96</f>
        <v>0</v>
      </c>
      <c r="B94" s="28" t="e">
        <f t="shared" si="18"/>
        <v>#VALUE!</v>
      </c>
      <c r="C94" s="28" t="e">
        <f t="shared" si="19"/>
        <v>#VALUE!</v>
      </c>
      <c r="D94" s="29" t="e">
        <f t="shared" si="20"/>
        <v>#VALUE!</v>
      </c>
      <c r="E94" s="30" t="e">
        <f t="shared" si="21"/>
        <v>#VALUE!</v>
      </c>
      <c r="F94" s="30" t="e">
        <f t="shared" si="22"/>
        <v>#VALUE!</v>
      </c>
      <c r="G94" s="30" t="e">
        <f t="shared" si="23"/>
        <v>#VALUE!</v>
      </c>
      <c r="H94" s="30" t="e">
        <f t="shared" si="24"/>
        <v>#VALUE!</v>
      </c>
      <c r="I94" s="30" t="e">
        <f t="shared" si="25"/>
        <v>#VALUE!</v>
      </c>
    </row>
    <row r="95" spans="1:9" ht="30" customHeight="1" x14ac:dyDescent="0.3">
      <c r="A95" s="1">
        <f>'База даних'!B97</f>
        <v>0</v>
      </c>
      <c r="B95" s="28" t="e">
        <f t="shared" si="18"/>
        <v>#VALUE!</v>
      </c>
      <c r="C95" s="28" t="e">
        <f t="shared" si="19"/>
        <v>#VALUE!</v>
      </c>
      <c r="D95" s="29" t="e">
        <f t="shared" si="20"/>
        <v>#VALUE!</v>
      </c>
      <c r="E95" s="30" t="e">
        <f t="shared" si="21"/>
        <v>#VALUE!</v>
      </c>
      <c r="F95" s="30" t="e">
        <f t="shared" si="22"/>
        <v>#VALUE!</v>
      </c>
      <c r="G95" s="30" t="e">
        <f t="shared" si="23"/>
        <v>#VALUE!</v>
      </c>
      <c r="H95" s="30" t="e">
        <f t="shared" si="24"/>
        <v>#VALUE!</v>
      </c>
      <c r="I95" s="30" t="e">
        <f t="shared" si="25"/>
        <v>#VALUE!</v>
      </c>
    </row>
    <row r="96" spans="1:9" ht="30" customHeight="1" x14ac:dyDescent="0.3">
      <c r="A96" s="1">
        <f>'База даних'!B98</f>
        <v>0</v>
      </c>
      <c r="B96" s="28" t="e">
        <f t="shared" si="18"/>
        <v>#VALUE!</v>
      </c>
      <c r="C96" s="28" t="e">
        <f t="shared" si="19"/>
        <v>#VALUE!</v>
      </c>
      <c r="D96" s="29" t="e">
        <f t="shared" si="20"/>
        <v>#VALUE!</v>
      </c>
      <c r="E96" s="30" t="e">
        <f t="shared" si="21"/>
        <v>#VALUE!</v>
      </c>
      <c r="F96" s="30" t="e">
        <f t="shared" si="22"/>
        <v>#VALUE!</v>
      </c>
      <c r="G96" s="30" t="e">
        <f t="shared" si="23"/>
        <v>#VALUE!</v>
      </c>
      <c r="H96" s="30" t="e">
        <f t="shared" si="24"/>
        <v>#VALUE!</v>
      </c>
      <c r="I96" s="30" t="e">
        <f t="shared" si="25"/>
        <v>#VALUE!</v>
      </c>
    </row>
    <row r="97" spans="1:9" ht="30" customHeight="1" x14ac:dyDescent="0.3">
      <c r="A97" s="1">
        <f>'База даних'!B99</f>
        <v>0</v>
      </c>
      <c r="B97" s="28" t="e">
        <f t="shared" si="18"/>
        <v>#VALUE!</v>
      </c>
      <c r="C97" s="28" t="e">
        <f t="shared" si="19"/>
        <v>#VALUE!</v>
      </c>
      <c r="D97" s="29" t="e">
        <f t="shared" si="20"/>
        <v>#VALUE!</v>
      </c>
      <c r="E97" s="30" t="e">
        <f t="shared" si="21"/>
        <v>#VALUE!</v>
      </c>
      <c r="F97" s="30" t="e">
        <f t="shared" si="22"/>
        <v>#VALUE!</v>
      </c>
      <c r="G97" s="30" t="e">
        <f t="shared" si="23"/>
        <v>#VALUE!</v>
      </c>
      <c r="H97" s="30" t="e">
        <f t="shared" si="24"/>
        <v>#VALUE!</v>
      </c>
      <c r="I97" s="30" t="e">
        <f t="shared" si="25"/>
        <v>#VALUE!</v>
      </c>
    </row>
    <row r="98" spans="1:9" ht="30" customHeight="1" x14ac:dyDescent="0.3">
      <c r="A98" s="1">
        <f>'База даних'!B100</f>
        <v>0</v>
      </c>
      <c r="B98" s="28" t="e">
        <f t="shared" si="18"/>
        <v>#VALUE!</v>
      </c>
      <c r="C98" s="28" t="e">
        <f t="shared" si="19"/>
        <v>#VALUE!</v>
      </c>
      <c r="D98" s="29" t="e">
        <f t="shared" si="20"/>
        <v>#VALUE!</v>
      </c>
      <c r="E98" s="30" t="e">
        <f t="shared" si="21"/>
        <v>#VALUE!</v>
      </c>
      <c r="F98" s="30" t="e">
        <f t="shared" si="22"/>
        <v>#VALUE!</v>
      </c>
      <c r="G98" s="30" t="e">
        <f t="shared" si="23"/>
        <v>#VALUE!</v>
      </c>
      <c r="H98" s="30" t="e">
        <f t="shared" si="24"/>
        <v>#VALUE!</v>
      </c>
      <c r="I98" s="30" t="e">
        <f t="shared" si="25"/>
        <v>#VALUE!</v>
      </c>
    </row>
    <row r="99" spans="1:9" ht="30" customHeight="1" x14ac:dyDescent="0.3">
      <c r="A99" s="1">
        <f>'База даних'!B101</f>
        <v>0</v>
      </c>
      <c r="B99" s="28" t="e">
        <f t="shared" si="18"/>
        <v>#VALUE!</v>
      </c>
      <c r="C99" s="28" t="e">
        <f t="shared" si="19"/>
        <v>#VALUE!</v>
      </c>
      <c r="D99" s="29" t="e">
        <f t="shared" si="20"/>
        <v>#VALUE!</v>
      </c>
      <c r="E99" s="30" t="e">
        <f t="shared" si="21"/>
        <v>#VALUE!</v>
      </c>
      <c r="F99" s="30" t="e">
        <f t="shared" si="22"/>
        <v>#VALUE!</v>
      </c>
      <c r="G99" s="30" t="e">
        <f t="shared" si="23"/>
        <v>#VALUE!</v>
      </c>
      <c r="H99" s="30" t="e">
        <f t="shared" si="24"/>
        <v>#VALUE!</v>
      </c>
      <c r="I99" s="30" t="e">
        <f t="shared" si="25"/>
        <v>#VALUE!</v>
      </c>
    </row>
    <row r="100" spans="1:9" ht="30" customHeight="1" x14ac:dyDescent="0.3">
      <c r="A100" s="1">
        <f>'База даних'!B102</f>
        <v>0</v>
      </c>
      <c r="B100" s="28" t="e">
        <f t="shared" si="18"/>
        <v>#VALUE!</v>
      </c>
      <c r="C100" s="28" t="e">
        <f t="shared" si="19"/>
        <v>#VALUE!</v>
      </c>
      <c r="D100" s="29" t="e">
        <f t="shared" si="20"/>
        <v>#VALUE!</v>
      </c>
      <c r="E100" s="30" t="e">
        <f t="shared" si="21"/>
        <v>#VALUE!</v>
      </c>
      <c r="F100" s="30" t="e">
        <f t="shared" si="22"/>
        <v>#VALUE!</v>
      </c>
      <c r="G100" s="30" t="e">
        <f t="shared" si="23"/>
        <v>#VALUE!</v>
      </c>
      <c r="H100" s="30" t="e">
        <f t="shared" si="24"/>
        <v>#VALUE!</v>
      </c>
      <c r="I100" s="30" t="e">
        <f t="shared" si="25"/>
        <v>#VALUE!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75</vt:i4>
      </vt:variant>
    </vt:vector>
  </HeadingPairs>
  <TitlesOfParts>
    <vt:vector size="82" baseType="lpstr">
      <vt:lpstr>База даних</vt:lpstr>
      <vt:lpstr>Розрахунок</vt:lpstr>
      <vt:lpstr>Налаштування</vt:lpstr>
      <vt:lpstr>Журнал оновлень</vt:lpstr>
      <vt:lpstr>Про програму</vt:lpstr>
      <vt:lpstr>Додаток №5</vt:lpstr>
      <vt:lpstr>Відмінки</vt:lpstr>
      <vt:lpstr>bookkeeper_4</vt:lpstr>
      <vt:lpstr>bookkeeper_5</vt:lpstr>
      <vt:lpstr>commence</vt:lpstr>
      <vt:lpstr>complete</vt:lpstr>
      <vt:lpstr>date_comm_num</vt:lpstr>
      <vt:lpstr>date_comp_num</vt:lpstr>
      <vt:lpstr>dob_days</vt:lpstr>
      <vt:lpstr>dobovi</vt:lpstr>
      <vt:lpstr>dobovi_plus</vt:lpstr>
      <vt:lpstr>dobovi_plus_days</vt:lpstr>
      <vt:lpstr>dodatok_5_table</vt:lpstr>
      <vt:lpstr>dodatok_5_total</vt:lpstr>
      <vt:lpstr>for_car</vt:lpstr>
      <vt:lpstr>for_car_plus</vt:lpstr>
      <vt:lpstr>full_name</vt:lpstr>
      <vt:lpstr>garage</vt:lpstr>
      <vt:lpstr>head_10</vt:lpstr>
      <vt:lpstr>made_the_culc</vt:lpstr>
      <vt:lpstr>main_table</vt:lpstr>
      <vt:lpstr>marg_bottom_10</vt:lpstr>
      <vt:lpstr>marg_bottom_4</vt:lpstr>
      <vt:lpstr>marg_bottom_5</vt:lpstr>
      <vt:lpstr>marg_left_10</vt:lpstr>
      <vt:lpstr>marg_left_4</vt:lpstr>
      <vt:lpstr>marg_left_5</vt:lpstr>
      <vt:lpstr>marg_right_10</vt:lpstr>
      <vt:lpstr>marg_right_4</vt:lpstr>
      <vt:lpstr>marg_right_5</vt:lpstr>
      <vt:lpstr>marg_top_10</vt:lpstr>
      <vt:lpstr>marg_top_4</vt:lpstr>
      <vt:lpstr>marg_top_5</vt:lpstr>
      <vt:lpstr>num_of_memo</vt:lpstr>
      <vt:lpstr>one_place</vt:lpstr>
      <vt:lpstr>order</vt:lpstr>
      <vt:lpstr>order_date</vt:lpstr>
      <vt:lpstr>other</vt:lpstr>
      <vt:lpstr>other_plus</vt:lpstr>
      <vt:lpstr>P.I.B.</vt:lpstr>
      <vt:lpstr>place</vt:lpstr>
      <vt:lpstr>proiz_days</vt:lpstr>
      <vt:lpstr>proiz_plus</vt:lpstr>
      <vt:lpstr>proiz_plus_days</vt:lpstr>
      <vt:lpstr>proizd</vt:lpstr>
      <vt:lpstr>proj_days</vt:lpstr>
      <vt:lpstr>proj_plus</vt:lpstr>
      <vt:lpstr>proj_plus_days</vt:lpstr>
      <vt:lpstr>projiv</vt:lpstr>
      <vt:lpstr>purpose</vt:lpstr>
      <vt:lpstr>sep_calc</vt:lpstr>
      <vt:lpstr>short_name</vt:lpstr>
      <vt:lpstr>total_sum</vt:lpstr>
      <vt:lpstr>total_sum_plus</vt:lpstr>
      <vt:lpstr>transport</vt:lpstr>
      <vt:lpstr>worker_1</vt:lpstr>
      <vt:lpstr>worker_10</vt:lpstr>
      <vt:lpstr>worker_11</vt:lpstr>
      <vt:lpstr>worker_12</vt:lpstr>
      <vt:lpstr>worker_13</vt:lpstr>
      <vt:lpstr>worker_14</vt:lpstr>
      <vt:lpstr>worker_15</vt:lpstr>
      <vt:lpstr>worker_16</vt:lpstr>
      <vt:lpstr>worker_17</vt:lpstr>
      <vt:lpstr>worker_18</vt:lpstr>
      <vt:lpstr>worker_19</vt:lpstr>
      <vt:lpstr>worker_2</vt:lpstr>
      <vt:lpstr>worker_20</vt:lpstr>
      <vt:lpstr>worker_21</vt:lpstr>
      <vt:lpstr>worker_3</vt:lpstr>
      <vt:lpstr>worker_4</vt:lpstr>
      <vt:lpstr>worker_5</vt:lpstr>
      <vt:lpstr>worker_6</vt:lpstr>
      <vt:lpstr>worker_7</vt:lpstr>
      <vt:lpstr>worker_8</vt:lpstr>
      <vt:lpstr>worker_9</vt:lpstr>
      <vt:lpstr>'Про програму'!Область_печати</vt:lpstr>
    </vt:vector>
  </TitlesOfParts>
  <Company>utg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Розрахунок витрат на відрядження</dc:title>
  <dc:creator>Ганув Володимир Андрійович;Івахів Роман</dc:creator>
  <cp:keywords>Авто-форма</cp:keywords>
  <dc:description>v. 1.2.5</dc:description>
  <cp:lastModifiedBy>Ганув Володимир Андрійович</cp:lastModifiedBy>
  <cp:lastPrinted>2022-09-25T07:20:28Z</cp:lastPrinted>
  <dcterms:created xsi:type="dcterms:W3CDTF">2021-11-16T09:09:23Z</dcterms:created>
  <dcterms:modified xsi:type="dcterms:W3CDTF">2022-11-07T14:34:41Z</dcterms:modified>
</cp:coreProperties>
</file>